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s" sheetId="1" state="visible" r:id="rId3"/>
    <sheet name="Overzicht" sheetId="2" state="visible" r:id="rId4"/>
    <sheet name="Uitleg" sheetId="3" state="visible" r:id="rId5"/>
  </sheets>
  <definedNames>
    <definedName function="false" hidden="true" localSheetId="0" name="_xlnm._FilterDatabase" vbProcedure="false">Leads!$A$1:$W$56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<sst xmlns="http://schemas.openxmlformats.org/spreadsheetml/2006/main" count="949" uniqueCount="420">
  <si>
    <t xml:space="preserve">Kans</t>
  </si>
  <si>
    <t xml:space="preserve">Bedrijf</t>
  </si>
  <si>
    <t xml:space="preserve">Segment</t>
  </si>
  <si>
    <t xml:space="preserve">Adres</t>
  </si>
  <si>
    <t xml:space="preserve">Postcode</t>
  </si>
  <si>
    <t xml:space="preserve">Plaats</t>
  </si>
  <si>
    <t xml:space="preserve">Telefoon</t>
  </si>
  <si>
    <t xml:space="preserve">Website</t>
  </si>
  <si>
    <t xml:space="preserve">Google Maps</t>
  </si>
  <si>
    <t xml:space="preserve">Contactpersoon</t>
  </si>
  <si>
    <t xml:space="preserve">Functie</t>
  </si>
  <si>
    <t xml:space="preserve">E-mail</t>
  </si>
  <si>
    <t xml:space="preserve">Waarom interessant</t>
  </si>
  <si>
    <t xml:space="preserve">Aanpak</t>
  </si>
  <si>
    <t xml:space="preserve">Status</t>
  </si>
  <si>
    <t xml:space="preserve">Laatste contact</t>
  </si>
  <si>
    <t xml:space="preserve">Volgende actie</t>
  </si>
  <si>
    <t xml:space="preserve">Notities</t>
  </si>
  <si>
    <t xml:space="preserve">LinkedIn: Warehouse manager</t>
  </si>
  <si>
    <t xml:space="preserve">LinkedIn: Supply chain manager</t>
  </si>
  <si>
    <t xml:space="preserve">LinkedIn: Crossdock manager</t>
  </si>
  <si>
    <t xml:space="preserve">Google: alle 3 functies</t>
  </si>
  <si>
    <t xml:space="preserve">Familiebedrijf</t>
  </si>
  <si>
    <t xml:space="preserve">A</t>
  </si>
  <si>
    <t xml:space="preserve">Kuehne + Nagel Logistics BV</t>
  </si>
  <si>
    <t xml:space="preserve">3PL contractlogistiek</t>
  </si>
  <si>
    <t xml:space="preserve">Sojadijk 4-6</t>
  </si>
  <si>
    <t xml:space="preserve">5704 RL</t>
  </si>
  <si>
    <t xml:space="preserve">Helmond</t>
  </si>
  <si>
    <t xml:space="preserve">+31 492 338 338</t>
  </si>
  <si>
    <t xml:space="preserve">https://www.kuehne-nagel.com/</t>
  </si>
  <si>
    <t xml:space="preserve">Open in Maps</t>
  </si>
  <si>
    <t xml:space="preserve">Grote 3PL met veel palletbewegingen. Inkoop materieel mogelijk centraal.</t>
  </si>
  <si>
    <t xml:space="preserve">Direct benaderen: LinkedIn + mail met one-pager, binnen 1 week bellen</t>
  </si>
  <si>
    <t xml:space="preserve">Nieuw</t>
  </si>
  <si>
    <t xml:space="preserve">Zoek</t>
  </si>
  <si>
    <t xml:space="preserve">NUNNER Logistics BV</t>
  </si>
  <si>
    <t xml:space="preserve">Logistiek dienstverlener / DC</t>
  </si>
  <si>
    <t xml:space="preserve">Gerstdijk 24</t>
  </si>
  <si>
    <t xml:space="preserve">5704 RG</t>
  </si>
  <si>
    <t xml:space="preserve">+31 40 204 5550</t>
  </si>
  <si>
    <t xml:space="preserve">Groot DC (20+ docks volgens chauffeurs), lange laad-/lostijden: sterk efficiëntie-verhaal.</t>
  </si>
  <si>
    <t xml:space="preserve">Van den Broek Logistics BV</t>
  </si>
  <si>
    <t xml:space="preserve">Transport &amp; opslag</t>
  </si>
  <si>
    <t xml:space="preserve">Vossenbeemd 112</t>
  </si>
  <si>
    <t xml:space="preserve">5705 CL</t>
  </si>
  <si>
    <t xml:space="preserve">+31 492 751 400</t>
  </si>
  <si>
    <t xml:space="preserve">http://www.broeklogistics.nl/</t>
  </si>
  <si>
    <t xml:space="preserve">Transport en opslag in één, laadramps op het terrein.</t>
  </si>
  <si>
    <t xml:space="preserve">Vos Logistics Helmond</t>
  </si>
  <si>
    <t xml:space="preserve">Haverdijk 3A</t>
  </si>
  <si>
    <t xml:space="preserve">5704 RC</t>
  </si>
  <si>
    <t xml:space="preserve">+31 492 531 313</t>
  </si>
  <si>
    <t xml:space="preserve">https://www.voslogistics.com/</t>
  </si>
  <si>
    <t xml:space="preserve">Groot DC met veel docks, o.a. distributie voor IKEA. Zelfde groep als Vos in Oss: kans op meerdere locaties.</t>
  </si>
  <si>
    <t xml:space="preserve">Expeditie- en Transportbedrijf Dollevoet B.V.</t>
  </si>
  <si>
    <t xml:space="preserve">Expeditie met warehouse</t>
  </si>
  <si>
    <t xml:space="preserve">Kantsingel 15</t>
  </si>
  <si>
    <t xml:space="preserve">5349 AJ</t>
  </si>
  <si>
    <t xml:space="preserve">Oss</t>
  </si>
  <si>
    <t xml:space="preserve">+31 73 521 2769</t>
  </si>
  <si>
    <t xml:space="preserve">https://www.dollevoet.nl/</t>
  </si>
  <si>
    <t xml:space="preserve">Hoofdvestiging met eigen warehouse en eigen laadpersoneel.</t>
  </si>
  <si>
    <t xml:space="preserve">Hartog &amp; Bikker Logistics b.v.</t>
  </si>
  <si>
    <t xml:space="preserve">Logistiek dienstverlener</t>
  </si>
  <si>
    <t xml:space="preserve">IJsselstraat 30</t>
  </si>
  <si>
    <t xml:space="preserve">5347 KG</t>
  </si>
  <si>
    <t xml:space="preserve">+31 412 671 777</t>
  </si>
  <si>
    <t xml:space="preserve">Klachten over dockplanning: 'sneller door het dock' past precies.</t>
  </si>
  <si>
    <t xml:space="preserve">Vos Bulk Logistics Oss B.V.</t>
  </si>
  <si>
    <t xml:space="preserve">Warehouse</t>
  </si>
  <si>
    <t xml:space="preserve">Waalkade 13</t>
  </si>
  <si>
    <t xml:space="preserve">5347 KR</t>
  </si>
  <si>
    <t xml:space="preserve">+31 412 699 565</t>
  </si>
  <si>
    <t xml:space="preserve">http://www.voslogistics.com/</t>
  </si>
  <si>
    <t xml:space="preserve">Warehouse met heftrucklading naast Vos Distri.</t>
  </si>
  <si>
    <t xml:space="preserve">Vos Distri Logistics Oss</t>
  </si>
  <si>
    <t xml:space="preserve">Distributie</t>
  </si>
  <si>
    <t xml:space="preserve">Waalkade 12</t>
  </si>
  <si>
    <t xml:space="preserve">5347 KS</t>
  </si>
  <si>
    <t xml:space="preserve">+31 412 699 301</t>
  </si>
  <si>
    <t xml:space="preserve">Distributie (o.a. IKEA thuisbezorging). Combineer met Vos Bulk en Vos Helmond.</t>
  </si>
  <si>
    <t xml:space="preserve">Chain Logistics BV</t>
  </si>
  <si>
    <t xml:space="preserve">Opslag &amp; distributie</t>
  </si>
  <si>
    <t xml:space="preserve">Jagersveld 6a</t>
  </si>
  <si>
    <t xml:space="preserve">5405 BW</t>
  </si>
  <si>
    <t xml:space="preserve">Uden</t>
  </si>
  <si>
    <t xml:space="preserve">+31 88 111 5200</t>
  </si>
  <si>
    <t xml:space="preserve">https://www.chain-logistics.nl/</t>
  </si>
  <si>
    <t xml:space="preserve">Opslag en distributie met laadramps.</t>
  </si>
  <si>
    <t xml:space="preserve">Sanders | Fritom B.V.</t>
  </si>
  <si>
    <t xml:space="preserve">Groupage / distributie</t>
  </si>
  <si>
    <t xml:space="preserve">Jagersveld 14</t>
  </si>
  <si>
    <t xml:space="preserve">+31 413 224 444</t>
  </si>
  <si>
    <t xml:space="preserve">https://www.sandersfritom.nl/</t>
  </si>
  <si>
    <t xml:space="preserve">Groupage-vervoerder met veel docks en lange werkdagen: veel crossdock-bewegingen.</t>
  </si>
  <si>
    <t xml:space="preserve">Van den Heuvel Logistiek Uden B.V. (SVZ)</t>
  </si>
  <si>
    <t xml:space="preserve">Erfstraat 23</t>
  </si>
  <si>
    <t xml:space="preserve">5405 BE</t>
  </si>
  <si>
    <t xml:space="preserve">+31 413 339 933</t>
  </si>
  <si>
    <t xml:space="preserve">https://svztransport.nl/</t>
  </si>
  <si>
    <t xml:space="preserve">Onderdeel van SVZ, veel vrachtverkeer. Kans op meerdere SVZ-locaties.</t>
  </si>
  <si>
    <t xml:space="preserve">B</t>
  </si>
  <si>
    <t xml:space="preserve">DHL CityHub Helmond</t>
  </si>
  <si>
    <t xml:space="preserve">Pakket-hub / crossdock</t>
  </si>
  <si>
    <t xml:space="preserve">Branchweg 8</t>
  </si>
  <si>
    <t xml:space="preserve">5705 DR</t>
  </si>
  <si>
    <t xml:space="preserve">http://dhl.com/</t>
  </si>
  <si>
    <t xml:space="preserve">Werkt als crossdock; inkoop materieel vaak centraal bij DHL.</t>
  </si>
  <si>
    <t xml:space="preserve">Eerst onderzoeken (website/LinkedIn), daarna benaderen</t>
  </si>
  <si>
    <t xml:space="preserve">EDCO Helmond</t>
  </si>
  <si>
    <t xml:space="preserve">Rietbeemdweg 5</t>
  </si>
  <si>
    <t xml:space="preserve">5705 BH</t>
  </si>
  <si>
    <t xml:space="preserve">+31 40 250 1111</t>
  </si>
  <si>
    <t xml:space="preserve">http://www.edco.nl/</t>
  </si>
  <si>
    <t xml:space="preserve">Opslag/distributie met dockplanning.</t>
  </si>
  <si>
    <t xml:space="preserve">Friedi Slegers Transport &amp; Warehousing</t>
  </si>
  <si>
    <t xml:space="preserve">Transport &amp; warehousing</t>
  </si>
  <si>
    <t xml:space="preserve">Lagedijk 28A</t>
  </si>
  <si>
    <t xml:space="preserve">5705 BZ</t>
  </si>
  <si>
    <t xml:space="preserve">+31 492 525 190</t>
  </si>
  <si>
    <t xml:space="preserve">https://www.facebook.com/friedislegers/</t>
  </si>
  <si>
    <t xml:space="preserve">Transport en warehousing, middelgroot.</t>
  </si>
  <si>
    <t xml:space="preserve">Vegro Distributiecentrum</t>
  </si>
  <si>
    <t xml:space="preserve">Eigen DC (groothandel zorghulpmiddelen)</t>
  </si>
  <si>
    <t xml:space="preserve">Vossenbeemd 111</t>
  </si>
  <si>
    <t xml:space="preserve">http://www.vegro.nl/</t>
  </si>
  <si>
    <t xml:space="preserve">Eigen DC: klant beslist zelf over materieel.</t>
  </si>
  <si>
    <t xml:space="preserve">Alju B.V.</t>
  </si>
  <si>
    <t xml:space="preserve">Transport &amp; distributie</t>
  </si>
  <si>
    <t xml:space="preserve">Molenweg 93</t>
  </si>
  <si>
    <t xml:space="preserve">5349 AC</t>
  </si>
  <si>
    <t xml:space="preserve">+31 412 745 030</t>
  </si>
  <si>
    <t xml:space="preserve">http://www.alju.nl/</t>
  </si>
  <si>
    <t xml:space="preserve">Transport en distributie.</t>
  </si>
  <si>
    <t xml:space="preserve">Hospital Logistics Nederland Bv</t>
  </si>
  <si>
    <t xml:space="preserve">Zorglogistiek</t>
  </si>
  <si>
    <t xml:space="preserve">Ketelmeer 23</t>
  </si>
  <si>
    <t xml:space="preserve">5347 JX</t>
  </si>
  <si>
    <t xml:space="preserve">Opslag en distributie in de zorg.</t>
  </si>
  <si>
    <t xml:space="preserve">MNG Logistics</t>
  </si>
  <si>
    <t xml:space="preserve">Kanaalstraat 41</t>
  </si>
  <si>
    <t xml:space="preserve">5347 KM</t>
  </si>
  <si>
    <t xml:space="preserve">+31 6 52245404</t>
  </si>
  <si>
    <t xml:space="preserve">https://mnglogistics.nl/</t>
  </si>
  <si>
    <t xml:space="preserve">Transport en opslag, kleiner bedrijf.</t>
  </si>
  <si>
    <t xml:space="preserve">PLUS Distributiecentrum Oss</t>
  </si>
  <si>
    <t xml:space="preserve">Retail-DC</t>
  </si>
  <si>
    <t xml:space="preserve">Keltenweg 30</t>
  </si>
  <si>
    <t xml:space="preserve">5342 LP</t>
  </si>
  <si>
    <t xml:space="preserve">+31 88 344 6000</t>
  </si>
  <si>
    <t xml:space="preserve">http://www.plus.nl/</t>
  </si>
  <si>
    <t xml:space="preserve">Groot retail-DC, deels geautomatiseerd, lange lostijden. Langer traject via hoofdkantoor (A/B).</t>
  </si>
  <si>
    <t xml:space="preserve">Transport ITC Holland BV</t>
  </si>
  <si>
    <t xml:space="preserve">Transport (tank)</t>
  </si>
  <si>
    <t xml:space="preserve">Vorstengrafdonk 71</t>
  </si>
  <si>
    <t xml:space="preserve">5342 LW</t>
  </si>
  <si>
    <t xml:space="preserve">+31 412 664 230</t>
  </si>
  <si>
    <t xml:space="preserve">http://www.itcholland.com/</t>
  </si>
  <si>
    <t xml:space="preserve">Vooral tanktransport/cleaning; controleren of er palletwerk is.</t>
  </si>
  <si>
    <t xml:space="preserve">Vice Versa</t>
  </si>
  <si>
    <t xml:space="preserve">Koelhuis / opslag</t>
  </si>
  <si>
    <t xml:space="preserve">Maaskade 13</t>
  </si>
  <si>
    <t xml:space="preserve">5347 KD</t>
  </si>
  <si>
    <t xml:space="preserve">http://www.vice-versa.org/</t>
  </si>
  <si>
    <t xml:space="preserve">Koelhuis: eerst geschiktheid Mek-Rider voor koel/vries controleren.</t>
  </si>
  <si>
    <t xml:space="preserve">ADEZZ magazijn</t>
  </si>
  <si>
    <t xml:space="preserve">Eigen magazijn producent</t>
  </si>
  <si>
    <t xml:space="preserve">Frontstraat 3B</t>
  </si>
  <si>
    <t xml:space="preserve">5405 AK</t>
  </si>
  <si>
    <t xml:space="preserve">Magazijn van producent tuinproducten; lange/afwijkende pallets mogelijk.</t>
  </si>
  <si>
    <t xml:space="preserve">DESTIL Uden</t>
  </si>
  <si>
    <t xml:space="preserve">Groothandel bouw &amp; industrie</t>
  </si>
  <si>
    <t xml:space="preserve">Industrielaan 3-A</t>
  </si>
  <si>
    <t xml:space="preserve">5405 AA</t>
  </si>
  <si>
    <t xml:space="preserve">+31 413 255 055</t>
  </si>
  <si>
    <t xml:space="preserve">https://www.destil.nl/over-destil/vestigingen/destil-uden</t>
  </si>
  <si>
    <t xml:space="preserve">Groothandelsvestiging; lange materialen (profielen) passen bij lange-pallet-verhaal.</t>
  </si>
  <si>
    <t xml:space="preserve">Modine (magazijn Uden)</t>
  </si>
  <si>
    <t xml:space="preserve">Frontstraat 13</t>
  </si>
  <si>
    <t xml:space="preserve">Eigen magazijn van producent; klant beslist zelf over materieel.</t>
  </si>
  <si>
    <t xml:space="preserve">Sidekix</t>
  </si>
  <si>
    <t xml:space="preserve">Fulfilment / e-commerce</t>
  </si>
  <si>
    <t xml:space="preserve">Loopkantstraat 19</t>
  </si>
  <si>
    <t xml:space="preserve">5405 NB</t>
  </si>
  <si>
    <t xml:space="preserve">+31 88 623 7000</t>
  </si>
  <si>
    <t xml:space="preserve">https://www.sidekix.nl/</t>
  </si>
  <si>
    <t xml:space="preserve">Fulfilment voor o.a. telecom; checken hoeveel palletwerk.</t>
  </si>
  <si>
    <t xml:space="preserve">C</t>
  </si>
  <si>
    <t xml:space="preserve">Lion Logistics Oss</t>
  </si>
  <si>
    <t xml:space="preserve">Koerier / thuisbezorging</t>
  </si>
  <si>
    <t xml:space="preserve">Hunnenpad 6A</t>
  </si>
  <si>
    <t xml:space="preserve">5349 BG</t>
  </si>
  <si>
    <t xml:space="preserve">+31 412 849 123</t>
  </si>
  <si>
    <t xml:space="preserve">http://www.lionlogistics.nl/</t>
  </si>
  <si>
    <t xml:space="preserve">Weinig palletwerk; lage prioriteit.</t>
  </si>
  <si>
    <t xml:space="preserve">Lage prioriteit: opnemen in nieuwsbrief/later</t>
  </si>
  <si>
    <t xml:space="preserve">HUFA Logistics</t>
  </si>
  <si>
    <t xml:space="preserve">Meubelbezorging aan huis</t>
  </si>
  <si>
    <t xml:space="preserve">Loopkantstraat 25C</t>
  </si>
  <si>
    <t xml:space="preserve">5405 AC</t>
  </si>
  <si>
    <t xml:space="preserve">+31 85 401 1396</t>
  </si>
  <si>
    <t xml:space="preserve">http://www.hufa-logistics.nl/</t>
  </si>
  <si>
    <t xml:space="preserve">Thuisbezorging meubels, weinig palletwerk.</t>
  </si>
  <si>
    <t xml:space="preserve">Van Grunsven Transport</t>
  </si>
  <si>
    <t xml:space="preserve">Transport</t>
  </si>
  <si>
    <t xml:space="preserve">Bovenstraat 5</t>
  </si>
  <si>
    <t xml:space="preserve">5405 BD</t>
  </si>
  <si>
    <t xml:space="preserve">+31 413 310 177</t>
  </si>
  <si>
    <t xml:space="preserve">https://www.vangrunsventransport.nl/</t>
  </si>
  <si>
    <t xml:space="preserve">Vooral transport; controleren of er een warehouse is.</t>
  </si>
  <si>
    <t xml:space="preserve">Transport 4u</t>
  </si>
  <si>
    <t xml:space="preserve">Koerier</t>
  </si>
  <si>
    <t xml:space="preserve">Goorkensweg 5A</t>
  </si>
  <si>
    <t xml:space="preserve">5408 SC</t>
  </si>
  <si>
    <t xml:space="preserve">Volkel</t>
  </si>
  <si>
    <t xml:space="preserve">+31 413 432 011</t>
  </si>
  <si>
    <t xml:space="preserve">http://www.transport-4u.nl/</t>
  </si>
  <si>
    <t xml:space="preserve">Koerier / kleine zendingen.</t>
  </si>
  <si>
    <t xml:space="preserve">Vendrig Transport B.V.</t>
  </si>
  <si>
    <t xml:space="preserve">Randweg 1</t>
  </si>
  <si>
    <t xml:space="preserve">5711 DJ</t>
  </si>
  <si>
    <t xml:space="preserve">Someren</t>
  </si>
  <si>
    <t xml:space="preserve">+31 493 495 937</t>
  </si>
  <si>
    <t xml:space="preserve">http://www.vendrigtransport.nl/</t>
  </si>
  <si>
    <t xml:space="preserve">Familiebedrijf met opslag en laadramps; veel vrachtverkeer.</t>
  </si>
  <si>
    <t xml:space="preserve">Ja</t>
  </si>
  <si>
    <t xml:space="preserve">Gebroeders van Eijk Logistiek</t>
  </si>
  <si>
    <t xml:space="preserve">Logistiek / warehouse</t>
  </si>
  <si>
    <t xml:space="preserve">Beemdstraat 10</t>
  </si>
  <si>
    <t xml:space="preserve">5711 CV</t>
  </si>
  <si>
    <t xml:space="preserve">+31 493 712 310</t>
  </si>
  <si>
    <t xml:space="preserve">http://www.gebroedersvaneijk.nl/</t>
  </si>
  <si>
    <t xml:space="preserve">Warehouse met ramps; zelfde familie als Gebr. van Eijk Transport Asten: één gesprek, twee locaties.</t>
  </si>
  <si>
    <t xml:space="preserve">Gebroeders van Eijk Transport</t>
  </si>
  <si>
    <t xml:space="preserve">Transport &amp; logistiek</t>
  </si>
  <si>
    <t xml:space="preserve">Het Hoogvelt 8</t>
  </si>
  <si>
    <t xml:space="preserve">5721 VW</t>
  </si>
  <si>
    <t xml:space="preserve">Asten</t>
  </si>
  <si>
    <t xml:space="preserve">+31 493 348 880</t>
  </si>
  <si>
    <t xml:space="preserve">https://www.gebroedersvaneijk.nl/</t>
  </si>
  <si>
    <t xml:space="preserve">Hoofdvestiging Gebr. van Eijk; combineer met locatie Someren.</t>
  </si>
  <si>
    <t xml:space="preserve">van Nunen Transport &amp; Logistiek bv</t>
  </si>
  <si>
    <t xml:space="preserve">Spaarpot 7</t>
  </si>
  <si>
    <t xml:space="preserve">5667 KV</t>
  </si>
  <si>
    <t xml:space="preserve">Geldrop</t>
  </si>
  <si>
    <t xml:space="preserve">+31 40 286 3346</t>
  </si>
  <si>
    <t xml:space="preserve">http://www.nuntrans.nl/</t>
  </si>
  <si>
    <t xml:space="preserve">Familiebedrijf met opslag, laden en lossen.</t>
  </si>
  <si>
    <t xml:space="preserve">Driessen Vlierden Transport</t>
  </si>
  <si>
    <t xml:space="preserve">Transport &amp; laden/lossen</t>
  </si>
  <si>
    <t xml:space="preserve">Voltstraat 5</t>
  </si>
  <si>
    <t xml:space="preserve">5753 RL</t>
  </si>
  <si>
    <t xml:space="preserve">Deurne</t>
  </si>
  <si>
    <t xml:space="preserve">+31 493 750 640</t>
  </si>
  <si>
    <t xml:space="preserve">http://www.driessenvlierden.nl/</t>
  </si>
  <si>
    <t xml:space="preserve">Veel laad- en losbewegingen aan het dock.</t>
  </si>
  <si>
    <t xml:space="preserve">Jan de Rijk Logistics (Geldrop)</t>
  </si>
  <si>
    <t xml:space="preserve">Warehousing &amp; distributie</t>
  </si>
  <si>
    <t xml:space="preserve">De Hooge Akker 6</t>
  </si>
  <si>
    <t xml:space="preserve">5661 NG</t>
  </si>
  <si>
    <t xml:space="preserve">+31 40 289 5555</t>
  </si>
  <si>
    <t xml:space="preserve">http://www.janderijk.com/</t>
  </si>
  <si>
    <t xml:space="preserve">Groot familiebedrijf met warehousing in Geldrop (2 locaties); inkoop mogelijk via hoofdkantoor.</t>
  </si>
  <si>
    <t xml:space="preserve">Ja (groot)</t>
  </si>
  <si>
    <t xml:space="preserve">Manders Transport &amp; Logistics B.V.</t>
  </si>
  <si>
    <t xml:space="preserve">Spaarpot Oost 4</t>
  </si>
  <si>
    <t xml:space="preserve">5667 KT</t>
  </si>
  <si>
    <t xml:space="preserve">+31 40 280 9620</t>
  </si>
  <si>
    <t xml:space="preserve">http://www.manderslogistics.nl/</t>
  </si>
  <si>
    <t xml:space="preserve">Familiebedrijf; checken hoeveel warehouse-activiteit.</t>
  </si>
  <si>
    <t xml:space="preserve">Schneider Expeditie BV</t>
  </si>
  <si>
    <t xml:space="preserve">Expeditie</t>
  </si>
  <si>
    <t xml:space="preserve">Het Hoogvelt 12</t>
  </si>
  <si>
    <t xml:space="preserve">+31 493 671 111</t>
  </si>
  <si>
    <t xml:space="preserve">http://www.schneider-transport.com/</t>
  </si>
  <si>
    <t xml:space="preserve">Expeditie met laden/lossen en douane.</t>
  </si>
  <si>
    <t xml:space="preserve">Lankveld Logistics B.V.</t>
  </si>
  <si>
    <t xml:space="preserve">Bosscheweg 40</t>
  </si>
  <si>
    <t xml:space="preserve">5741 SX</t>
  </si>
  <si>
    <t xml:space="preserve">Beek en Donk</t>
  </si>
  <si>
    <t xml:space="preserve">+31 492 465 600</t>
  </si>
  <si>
    <t xml:space="preserve">https://www.lankveld.com/</t>
  </si>
  <si>
    <t xml:space="preserve">Familiebedrijf met opslag.</t>
  </si>
  <si>
    <t xml:space="preserve">Van Uden - Bekx Transport B.V.</t>
  </si>
  <si>
    <t xml:space="preserve">Bijenweg 3</t>
  </si>
  <si>
    <t xml:space="preserve">5741 SG</t>
  </si>
  <si>
    <t xml:space="preserve">+31 492 461 528</t>
  </si>
  <si>
    <t xml:space="preserve">http://www.vanudenbekxtransport.nl/</t>
  </si>
  <si>
    <t xml:space="preserve">Transportbedrijf; checken of er een warehouse is.</t>
  </si>
  <si>
    <t xml:space="preserve">Expeditie Wim van Heugten</t>
  </si>
  <si>
    <t xml:space="preserve">Dommel 35/37</t>
  </si>
  <si>
    <t xml:space="preserve">5422 VH</t>
  </si>
  <si>
    <t xml:space="preserve">Gemert</t>
  </si>
  <si>
    <t xml:space="preserve">+31 492 361 243</t>
  </si>
  <si>
    <t xml:space="preserve">Klein familiebedrijf in expeditie.</t>
  </si>
  <si>
    <t xml:space="preserve">van den Heuvel Op- en overslag B.V.</t>
  </si>
  <si>
    <t xml:space="preserve">Op- en overslag</t>
  </si>
  <si>
    <t xml:space="preserve">Houtakker 8</t>
  </si>
  <si>
    <t xml:space="preserve">5761 DD</t>
  </si>
  <si>
    <t xml:space="preserve">Bakel</t>
  </si>
  <si>
    <t xml:space="preserve">+31 492 341 243</t>
  </si>
  <si>
    <t xml:space="preserve">http://www.heuvelbakel.nl/</t>
  </si>
  <si>
    <t xml:space="preserve">Op- en overslag = crossdock-achtig werk.</t>
  </si>
  <si>
    <t xml:space="preserve">V &amp; V Transport BV</t>
  </si>
  <si>
    <t xml:space="preserve">Dr. Huub van Doorneweg 4</t>
  </si>
  <si>
    <t xml:space="preserve">5753 PM</t>
  </si>
  <si>
    <t xml:space="preserve">+31 493 383 877</t>
  </si>
  <si>
    <t xml:space="preserve">http://www.vvtransportbv.nl/</t>
  </si>
  <si>
    <t xml:space="preserve">Familiebedrijf met betrokken eigenaren.</t>
  </si>
  <si>
    <t xml:space="preserve">H. Essers Asten (Hoefnagels)</t>
  </si>
  <si>
    <t xml:space="preserve">Transport &amp; logistiek (groep)</t>
  </si>
  <si>
    <t xml:space="preserve">Ommelsveld 5</t>
  </si>
  <si>
    <t xml:space="preserve">5721 VT</t>
  </si>
  <si>
    <t xml:space="preserve">+31 493 671 888</t>
  </si>
  <si>
    <t xml:space="preserve">http://www.hoefnagelstransport.nl/</t>
  </si>
  <si>
    <t xml:space="preserve">Onderdeel van groot familiebedrijf H.Essers; inkoop waarschijnlijk centraal.</t>
  </si>
  <si>
    <t xml:space="preserve">Lineage Asten</t>
  </si>
  <si>
    <t xml:space="preserve">Koel- en vrieshuis</t>
  </si>
  <si>
    <t xml:space="preserve">Laagveld 1</t>
  </si>
  <si>
    <t xml:space="preserve">5721 VV</t>
  </si>
  <si>
    <t xml:space="preserve">+31 493 695 335</t>
  </si>
  <si>
    <t xml:space="preserve">https://www.onelineage.com/</t>
  </si>
  <si>
    <t xml:space="preserve">Multinational koelhuis; eerst geschiktheid voor koel/vries checken.</t>
  </si>
  <si>
    <t xml:space="preserve">Nee</t>
  </si>
  <si>
    <t xml:space="preserve">DDEfulfilment</t>
  </si>
  <si>
    <t xml:space="preserve">Fulfilment</t>
  </si>
  <si>
    <t xml:space="preserve">Industrieweg 64</t>
  </si>
  <si>
    <t xml:space="preserve">5422 VK</t>
  </si>
  <si>
    <t xml:space="preserve">+31 6 43166681</t>
  </si>
  <si>
    <t xml:space="preserve">https://ddefulfilment.nl/</t>
  </si>
  <si>
    <t xml:space="preserve">Jong fulfilmentbedrijf; checken hoeveel palletwerk.</t>
  </si>
  <si>
    <t xml:space="preserve">Future Fulfilment</t>
  </si>
  <si>
    <t xml:space="preserve">Bosbeemd 3</t>
  </si>
  <si>
    <t xml:space="preserve">5741 TR</t>
  </si>
  <si>
    <t xml:space="preserve">+31 85 004 1572</t>
  </si>
  <si>
    <t xml:space="preserve">https://futurefulfilment.nl/</t>
  </si>
  <si>
    <t xml:space="preserve">E-commerce fulfilment; checken hoeveel palletwerk.</t>
  </si>
  <si>
    <t xml:space="preserve">Emtrade</t>
  </si>
  <si>
    <t xml:space="preserve">Magazijninrichting / groothandel</t>
  </si>
  <si>
    <t xml:space="preserve">Scheiweg 72</t>
  </si>
  <si>
    <t xml:space="preserve">5421 XL</t>
  </si>
  <si>
    <t xml:space="preserve">https://www.emtrade.nl/</t>
  </si>
  <si>
    <t xml:space="preserve">Eigen magazijn én mogelijke partner (richt magazijnen in).</t>
  </si>
  <si>
    <t xml:space="preserve">Bloemendaal Pallets (Geldrop Logistics)</t>
  </si>
  <si>
    <t xml:space="preserve">Palletleverancier</t>
  </si>
  <si>
    <t xml:space="preserve">Hoijserstraat 2A</t>
  </si>
  <si>
    <t xml:space="preserve">5711 PV</t>
  </si>
  <si>
    <t xml:space="preserve">+31 40 285 7343</t>
  </si>
  <si>
    <t xml:space="preserve">https://www.geldroplogistics.nl/</t>
  </si>
  <si>
    <t xml:space="preserve">Veel palletbewegingen; ook interessant als netwerkpartner.</t>
  </si>
  <si>
    <t xml:space="preserve">Ven Poultry B.V.</t>
  </si>
  <si>
    <t xml:space="preserve">Producent met laadramps</t>
  </si>
  <si>
    <t xml:space="preserve">Stipdonk 46</t>
  </si>
  <si>
    <t xml:space="preserve">5715 PD</t>
  </si>
  <si>
    <t xml:space="preserve">Lierop</t>
  </si>
  <si>
    <t xml:space="preserve">+31 492 537 066</t>
  </si>
  <si>
    <t xml:space="preserve">http://www.venpoultry.nl/</t>
  </si>
  <si>
    <t xml:space="preserve">Laadt de hele dag via ramps; eigen expeditie.</t>
  </si>
  <si>
    <t xml:space="preserve">Peter Slits Transport</t>
  </si>
  <si>
    <t xml:space="preserve">Rechteloop 20</t>
  </si>
  <si>
    <t xml:space="preserve">5421 WW</t>
  </si>
  <si>
    <t xml:space="preserve">+31 492 319 203</t>
  </si>
  <si>
    <t xml:space="preserve">Vooral transport.</t>
  </si>
  <si>
    <t xml:space="preserve">A. Kanters Internationaal Transport</t>
  </si>
  <si>
    <t xml:space="preserve">Hoeksestraat 23</t>
  </si>
  <si>
    <t xml:space="preserve">5712 AP</t>
  </si>
  <si>
    <t xml:space="preserve">+31 493 440 233</t>
  </si>
  <si>
    <t xml:space="preserve">http://www.kanterstransport.nl/</t>
  </si>
  <si>
    <t xml:space="preserve">Vooral internationaal transport.</t>
  </si>
  <si>
    <t xml:space="preserve">Hurkmans Transport B.V</t>
  </si>
  <si>
    <t xml:space="preserve">Bulktransport</t>
  </si>
  <si>
    <t xml:space="preserve">Witvrouwenbergweg 21</t>
  </si>
  <si>
    <t xml:space="preserve">5711 CN</t>
  </si>
  <si>
    <t xml:space="preserve">+31 85 273 2340</t>
  </si>
  <si>
    <t xml:space="preserve">http://www.hurkmans-transport.nl/</t>
  </si>
  <si>
    <t xml:space="preserve">Vooral bulk/silo; weinig palletwerk.</t>
  </si>
  <si>
    <t xml:space="preserve">Bevers Transport B.V.</t>
  </si>
  <si>
    <t xml:space="preserve">Containertransport</t>
  </si>
  <si>
    <t xml:space="preserve">Zandhoek 1B</t>
  </si>
  <si>
    <t xml:space="preserve">5427 PJ</t>
  </si>
  <si>
    <t xml:space="preserve">Boekel</t>
  </si>
  <si>
    <t xml:space="preserve">+31 492 321 613</t>
  </si>
  <si>
    <t xml:space="preserve">https://www.beverscontainertransport.nl/</t>
  </si>
  <si>
    <t xml:space="preserve">Containertransport.</t>
  </si>
  <si>
    <t xml:space="preserve">Snelvervoer v.d. Boogaard B.V.</t>
  </si>
  <si>
    <t xml:space="preserve">Spoedvervoer</t>
  </si>
  <si>
    <t xml:space="preserve">Vlier 8</t>
  </si>
  <si>
    <t xml:space="preserve">5662 TM</t>
  </si>
  <si>
    <t xml:space="preserve">+31 40 286 3343</t>
  </si>
  <si>
    <t xml:space="preserve">https://www.snelvervoer.nl/</t>
  </si>
  <si>
    <t xml:space="preserve">Tijdkritisch vervoer, weinig palletopslag.</t>
  </si>
  <si>
    <t xml:space="preserve">Manders Handel &amp; Transport</t>
  </si>
  <si>
    <t xml:space="preserve">Bakelseweg 60</t>
  </si>
  <si>
    <t xml:space="preserve">5752 PD</t>
  </si>
  <si>
    <t xml:space="preserve">https://www.manders.eu/</t>
  </si>
  <si>
    <t xml:space="preserve">Klein bedrijf, snel laden.</t>
  </si>
  <si>
    <t xml:space="preserve">Overzicht leads per kans en plaats</t>
  </si>
  <si>
    <t xml:space="preserve">Dorpen / overig</t>
  </si>
  <si>
    <t xml:space="preserve">Totaal</t>
  </si>
  <si>
    <t xml:space="preserve">Aantal</t>
  </si>
  <si>
    <t xml:space="preserve">Benaderd</t>
  </si>
  <si>
    <t xml:space="preserve">Geïnteresseerd</t>
  </si>
  <si>
    <t xml:space="preserve">Offerte uitgebracht</t>
  </si>
  <si>
    <t xml:space="preserve">Offerte gewonnen</t>
  </si>
  <si>
    <t xml:space="preserve">Offerte verloren</t>
  </si>
  <si>
    <t xml:space="preserve">Geen interesse</t>
  </si>
  <si>
    <t xml:space="preserve">Uitleg leadlijst MEK-Rider</t>
  </si>
  <si>
    <t xml:space="preserve">Kans A</t>
  </si>
  <si>
    <t xml:space="preserve">Grote logistieke operatie (DC, 3PL, warehouse) met veel palletbewegingen. Direct benaderen.</t>
  </si>
  <si>
    <t xml:space="preserve">Kans B</t>
  </si>
  <si>
    <t xml:space="preserve">Interessant, maar eerst onderzoeken: kleiner, ander segment, of inkoop via hoofdkantoor.</t>
  </si>
  <si>
    <t xml:space="preserve">Kans C</t>
  </si>
  <si>
    <t xml:space="preserve">Gele cellen</t>
  </si>
  <si>
    <t xml:space="preserve">Zelf invullen: contactpersoon, functie, e-mail, status, laatste contact, volgende actie, notities.</t>
  </si>
  <si>
    <t xml:space="preserve">Kies uit de lijst. Het tabblad Overzicht telt automatisch mee.</t>
  </si>
  <si>
    <t xml:space="preserve">Nieuwe leads</t>
  </si>
  <si>
    <t xml:space="preserve">Voeg onderaan een rij toe; Kans en Status hebben een keuzelijst.</t>
  </si>
  <si>
    <t xml:space="preserve">Bron</t>
  </si>
  <si>
    <t xml:space="preserve">Bedrijfsgegevens via Google Maps (Helmond, Oss, Uden en de dorpen rond Helmond, oktober 2026). Kans-indeling is een eerste inschatting door Claude op basis van segment, omvang en openbare reviews; controleer vóór benaderen.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</si>
</sst>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\-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1F5FAD"/>
      <name val="Arial"/>
      <family val="0"/>
      <charset val="1"/>
    </font>
    <font>
      <u val="single"/>
      <sz val="10"/>
      <color rgb="FF0A66C2"/>
      <name val="Arial"/>
      <family val="0"/>
      <charset val="1"/>
    </font>
    <font>
      <b val="true"/>
      <sz val="14"/>
      <color rgb="FF0E203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E2038"/>
        <bgColor rgb="FF003300"/>
      </patternFill>
    </fill>
    <fill>
      <patternFill patternType="solid">
        <fgColor rgb="FF0A66C2"/>
        <bgColor rgb="FF1F5FAD"/>
      </patternFill>
    </fill>
    <fill>
      <patternFill patternType="solid">
        <fgColor rgb="FFFFF8DC"/>
        <bgColor rgb="FFFCEFD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D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0E2038"/>
          <bgColor rgb="FF000000"/>
        </patternFill>
      </fill>
    </dxf>
    <dxf>
      <fill>
        <patternFill patternType="solid">
          <fgColor rgb="FFD9F0E1"/>
          <bgColor rgb="FF000000"/>
        </patternFill>
      </fill>
    </dxf>
    <dxf>
      <fill>
        <patternFill patternType="solid">
          <fgColor rgb="FFE8ECF1"/>
          <bgColor rgb="FF000000"/>
        </patternFill>
      </fill>
    </dxf>
    <dxf>
      <fill>
        <patternFill patternType="solid">
          <fgColor rgb="FFFCEFD2"/>
          <bgColor rgb="FF000000"/>
        </patternFill>
      </fill>
    </dxf>
    <dxf>
      <fill>
        <patternFill patternType="solid">
          <fgColor rgb="FF1E7A46"/>
          <bgColor rgb="FF000000"/>
        </patternFill>
      </fill>
    </dxf>
    <dxf>
      <fill>
        <patternFill patternType="solid">
          <fgColor rgb="FF5A6B80"/>
          <bgColor rgb="FF000000"/>
        </patternFill>
      </fill>
    </dxf>
    <dxf>
      <fill>
        <patternFill patternType="solid">
          <fgColor rgb="FF8A5A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5FAD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ill>
        <patternFill patternType="solid">
          <fgColor rgb="FF0A66C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name val="Arial"/>
        <charset val="1"/>
        <family val="0"/>
        <b val="1"/>
        <color rgb="FF1E7A46"/>
      </font>
      <fill>
        <patternFill>
          <bgColor rgb="FFD9F0E1"/>
        </patternFill>
      </fill>
    </dxf>
    <dxf>
      <font>
        <name val="Arial"/>
        <charset val="1"/>
        <family val="0"/>
        <b val="1"/>
        <color rgb="FF8A5A00"/>
      </font>
      <fill>
        <patternFill>
          <bgColor rgb="FFFCEFD2"/>
        </patternFill>
      </fill>
    </dxf>
    <dxf>
      <font>
        <name val="Arial"/>
        <charset val="1"/>
        <family val="0"/>
        <b val="1"/>
        <color rgb="FF5A6B80"/>
      </font>
      <fill>
        <patternFill>
          <bgColor rgb="FFE8ECF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0"/>
      <rgbColor rgb="FF800080"/>
      <rgbColor rgb="FF1E7A46"/>
      <rgbColor rgb="FFC0C0C0"/>
      <rgbColor rgb="FF808080"/>
      <rgbColor rgb="FF9999FF"/>
      <rgbColor rgb="FF993366"/>
      <rgbColor rgb="FFFFF8DC"/>
      <rgbColor rgb="FFE8ECF1"/>
      <rgbColor rgb="FF660066"/>
      <rgbColor rgb="FFFF8080"/>
      <rgbColor rgb="FF0A66C2"/>
      <rgbColor rgb="FFD5DD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0E1"/>
      <rgbColor rgb="FFFCEFD2"/>
      <rgbColor rgb="FF99CCFF"/>
      <rgbColor rgb="FFFF99CC"/>
      <rgbColor rgb="FFCC99FF"/>
      <rgbColor rgb="FFFFCC99"/>
      <rgbColor rgb="FF1F5FAD"/>
      <rgbColor rgb="FF33CCCC"/>
      <rgbColor rgb="FF99CC00"/>
      <rgbColor rgb="FFFFCC00"/>
      <rgbColor rgb="FFFF9900"/>
      <rgbColor rgb="FFFF6600"/>
      <rgbColor rgb="FF5A6B80"/>
      <rgbColor rgb="FF969696"/>
      <rgbColor rgb="FF0E203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kuehne-nagel.com/" TargetMode="External"/><Relationship Id="rId2" Type="http://schemas.openxmlformats.org/officeDocument/2006/relationships/hyperlink" Target="https://maps.google.com/?cid=2898518127676474474" TargetMode="External"/><Relationship Id="rId3" Type="http://schemas.openxmlformats.org/officeDocument/2006/relationships/hyperlink" Target="https://www.linkedin.com/search/results/people/?keywords=%22Kuehne%20%2B%20Nagel%20Logistics%22%20warehouse%20manager" TargetMode="External"/><Relationship Id="rId4" Type="http://schemas.openxmlformats.org/officeDocument/2006/relationships/hyperlink" Target="https://www.linkedin.com/search/results/people/?keywords=%22Kuehne%20%2B%20Nagel%20Logistics%22%20supply%20chain%20manager" TargetMode="External"/><Relationship Id="rId5" Type="http://schemas.openxmlformats.org/officeDocument/2006/relationships/hyperlink" Target="https://www.linkedin.com/search/results/people/?keywords=%22Kuehne%20%2B%20Nagel%20Logistics%22%20crossdock%20manager" TargetMode="External"/><Relationship Id="rId6" Type="http://schemas.openxmlformats.org/officeDocument/2006/relationships/hyperlink" Target="https://www.google.com/search?q=site%3Alinkedin.com/in%20%22Kuehne%20%2B%20Nagel%20Logistics%22%20%28%22warehouse%20manager%22%20OR%20%22supply%20chain%20manager%22%20OR%20%22crossdock%20manager%22%29" TargetMode="External"/><Relationship Id="rId7" Type="http://schemas.openxmlformats.org/officeDocument/2006/relationships/hyperlink" Target="https://maps.google.com/?cid=15363537801898787901" TargetMode="External"/><Relationship Id="rId8" Type="http://schemas.openxmlformats.org/officeDocument/2006/relationships/hyperlink" Target="https://www.linkedin.com/search/results/people/?keywords=%22NUNNER%20Logistics%22%20warehouse%20manager" TargetMode="External"/><Relationship Id="rId9" Type="http://schemas.openxmlformats.org/officeDocument/2006/relationships/hyperlink" Target="https://www.linkedin.com/search/results/people/?keywords=%22NUNNER%20Logistics%22%20supply%20chain%20manager" TargetMode="External"/><Relationship Id="rId10" Type="http://schemas.openxmlformats.org/officeDocument/2006/relationships/hyperlink" Target="https://www.linkedin.com/search/results/people/?keywords=%22NUNNER%20Logistics%22%20crossdock%20manager" TargetMode="External"/><Relationship Id="rId11" Type="http://schemas.openxmlformats.org/officeDocument/2006/relationships/hyperlink" Target="https://www.google.com/search?q=site%3Alinkedin.com/in%20%22NUNNER%20Logistics%22%20%28%22warehouse%20manager%22%20OR%20%22supply%20chain%20manager%22%20OR%20%22crossdock%20manager%22%29" TargetMode="External"/><Relationship Id="rId12" Type="http://schemas.openxmlformats.org/officeDocument/2006/relationships/hyperlink" Target="http://www.broeklogistics.nl/" TargetMode="External"/><Relationship Id="rId13" Type="http://schemas.openxmlformats.org/officeDocument/2006/relationships/hyperlink" Target="https://maps.google.com/?cid=17753376897209326890" TargetMode="External"/><Relationship Id="rId14" Type="http://schemas.openxmlformats.org/officeDocument/2006/relationships/hyperlink" Target="https://www.linkedin.com/search/results/people/?keywords=%22Van%20den%20Broek%20Logistics%22%20warehouse%20manager" TargetMode="External"/><Relationship Id="rId15" Type="http://schemas.openxmlformats.org/officeDocument/2006/relationships/hyperlink" Target="https://www.linkedin.com/search/results/people/?keywords=%22Van%20den%20Broek%20Logistics%22%20supply%20chain%20manager" TargetMode="External"/><Relationship Id="rId16" Type="http://schemas.openxmlformats.org/officeDocument/2006/relationships/hyperlink" Target="https://www.linkedin.com/search/results/people/?keywords=%22Van%20den%20Broek%20Logistics%22%20crossdock%20manager" TargetMode="External"/><Relationship Id="rId17" Type="http://schemas.openxmlformats.org/officeDocument/2006/relationships/hyperlink" Target="https://www.google.com/search?q=site%3Alinkedin.com/in%20%22Van%20den%20Broek%20Logistics%22%20%28%22warehouse%20manager%22%20OR%20%22supply%20chain%20manager%22%20OR%20%22crossdock%20manager%22%29" TargetMode="External"/><Relationship Id="rId18" Type="http://schemas.openxmlformats.org/officeDocument/2006/relationships/hyperlink" Target="https://www.voslogistics.com/" TargetMode="External"/><Relationship Id="rId19" Type="http://schemas.openxmlformats.org/officeDocument/2006/relationships/hyperlink" Target="https://maps.google.com/?cid=11499220521674917384" TargetMode="External"/><Relationship Id="rId20" Type="http://schemas.openxmlformats.org/officeDocument/2006/relationships/hyperlink" Target="https://www.linkedin.com/search/results/people/?keywords=%22Vos%20Logistics%20Helmond%22%20warehouse%20manager" TargetMode="External"/><Relationship Id="rId21" Type="http://schemas.openxmlformats.org/officeDocument/2006/relationships/hyperlink" Target="https://www.linkedin.com/search/results/people/?keywords=%22Vos%20Logistics%20Helmond%22%20supply%20chain%20manager" TargetMode="External"/><Relationship Id="rId22" Type="http://schemas.openxmlformats.org/officeDocument/2006/relationships/hyperlink" Target="https://www.linkedin.com/search/results/people/?keywords=%22Vos%20Logistics%20Helmond%22%20crossdock%20manager" TargetMode="External"/><Relationship Id="rId23" Type="http://schemas.openxmlformats.org/officeDocument/2006/relationships/hyperlink" Target="https://www.google.com/search?q=site%3Alinkedin.com/in%20%22Vos%20Logistics%20Helmond%22%20%28%22warehouse%20manager%22%20OR%20%22supply%20chain%20manager%22%20OR%20%22crossdock%20manager%22%29" TargetMode="External"/><Relationship Id="rId24" Type="http://schemas.openxmlformats.org/officeDocument/2006/relationships/hyperlink" Target="https://www.dollevoet.nl/" TargetMode="External"/><Relationship Id="rId25" Type="http://schemas.openxmlformats.org/officeDocument/2006/relationships/hyperlink" Target="https://maps.google.com/?cid=6158297133006717607" TargetMode="External"/><Relationship Id="rId26" Type="http://schemas.openxmlformats.org/officeDocument/2006/relationships/hyperlink" Target="https://www.linkedin.com/search/results/people/?keywords=%22Expeditie-%20en%20Transportbedrijf%20Dollevoet%22%20warehouse%20manager" TargetMode="External"/><Relationship Id="rId27" Type="http://schemas.openxmlformats.org/officeDocument/2006/relationships/hyperlink" Target="https://www.linkedin.com/search/results/people/?keywords=%22Expeditie-%20en%20Transportbedrijf%20Dollevoet%22%20supply%20chain%20manager" TargetMode="External"/><Relationship Id="rId28" Type="http://schemas.openxmlformats.org/officeDocument/2006/relationships/hyperlink" Target="https://www.linkedin.com/search/results/people/?keywords=%22Expeditie-%20en%20Transportbedrijf%20Dollevoet%22%20crossdock%20manager" TargetMode="External"/><Relationship Id="rId29" Type="http://schemas.openxmlformats.org/officeDocument/2006/relationships/hyperlink" Target="https://www.google.com/search?q=site%3Alinkedin.com/in%20%22Expeditie-%20en%20Transportbedrijf%20Dollevoet%22%20%28%22warehouse%20manager%22%20OR%20%22supply%20chain%20manager%22%20OR%20%22crossdock%20manager%22%29" TargetMode="External"/><Relationship Id="rId30" Type="http://schemas.openxmlformats.org/officeDocument/2006/relationships/hyperlink" Target="https://maps.google.com/?cid=13863307259961455486" TargetMode="External"/><Relationship Id="rId31" Type="http://schemas.openxmlformats.org/officeDocument/2006/relationships/hyperlink" Target="https://www.linkedin.com/search/results/people/?keywords=%22Hartog%20%26%20Bikker%20Logistics%22%20warehouse%20manager" TargetMode="External"/><Relationship Id="rId32" Type="http://schemas.openxmlformats.org/officeDocument/2006/relationships/hyperlink" Target="https://www.linkedin.com/search/results/people/?keywords=%22Hartog%20%26%20Bikker%20Logistics%22%20supply%20chain%20manager" TargetMode="External"/><Relationship Id="rId33" Type="http://schemas.openxmlformats.org/officeDocument/2006/relationships/hyperlink" Target="https://www.linkedin.com/search/results/people/?keywords=%22Hartog%20%26%20Bikker%20Logistics%22%20crossdock%20manager" TargetMode="External"/><Relationship Id="rId34" Type="http://schemas.openxmlformats.org/officeDocument/2006/relationships/hyperlink" Target="https://www.google.com/search?q=site%3Alinkedin.com/in%20%22Hartog%20%26%20Bikker%20Logistics%22%20%28%22warehouse%20manager%22%20OR%20%22supply%20chain%20manager%22%20OR%20%22crossdock%20manager%22%29" TargetMode="External"/><Relationship Id="rId35" Type="http://schemas.openxmlformats.org/officeDocument/2006/relationships/hyperlink" Target="http://www.voslogistics.com/" TargetMode="External"/><Relationship Id="rId36" Type="http://schemas.openxmlformats.org/officeDocument/2006/relationships/hyperlink" Target="https://maps.google.com/?cid=599468943085018137" TargetMode="External"/><Relationship Id="rId37" Type="http://schemas.openxmlformats.org/officeDocument/2006/relationships/hyperlink" Target="https://www.linkedin.com/search/results/people/?keywords=%22Vos%20Bulk%20Logistics%20Oss%22%20warehouse%20manager" TargetMode="External"/><Relationship Id="rId38" Type="http://schemas.openxmlformats.org/officeDocument/2006/relationships/hyperlink" Target="https://www.linkedin.com/search/results/people/?keywords=%22Vos%20Bulk%20Logistics%20Oss%22%20supply%20chain%20manager" TargetMode="External"/><Relationship Id="rId39" Type="http://schemas.openxmlformats.org/officeDocument/2006/relationships/hyperlink" Target="https://www.linkedin.com/search/results/people/?keywords=%22Vos%20Bulk%20Logistics%20Oss%22%20crossdock%20manager" TargetMode="External"/><Relationship Id="rId40" Type="http://schemas.openxmlformats.org/officeDocument/2006/relationships/hyperlink" Target="https://www.google.com/search?q=site%3Alinkedin.com/in%20%22Vos%20Bulk%20Logistics%20Oss%22%20%28%22warehouse%20manager%22%20OR%20%22supply%20chain%20manager%22%20OR%20%22crossdock%20manager%22%29" TargetMode="External"/><Relationship Id="rId41" Type="http://schemas.openxmlformats.org/officeDocument/2006/relationships/hyperlink" Target="https://www.voslogistics.com/" TargetMode="External"/><Relationship Id="rId42" Type="http://schemas.openxmlformats.org/officeDocument/2006/relationships/hyperlink" Target="https://maps.google.com/?cid=3504324634020436860" TargetMode="External"/><Relationship Id="rId43" Type="http://schemas.openxmlformats.org/officeDocument/2006/relationships/hyperlink" Target="https://www.linkedin.com/search/results/people/?keywords=%22Vos%20Distri%20Logistics%20Oss%22%20warehouse%20manager" TargetMode="External"/><Relationship Id="rId44" Type="http://schemas.openxmlformats.org/officeDocument/2006/relationships/hyperlink" Target="https://www.linkedin.com/search/results/people/?keywords=%22Vos%20Distri%20Logistics%20Oss%22%20supply%20chain%20manager" TargetMode="External"/><Relationship Id="rId45" Type="http://schemas.openxmlformats.org/officeDocument/2006/relationships/hyperlink" Target="https://www.linkedin.com/search/results/people/?keywords=%22Vos%20Distri%20Logistics%20Oss%22%20crossdock%20manager" TargetMode="External"/><Relationship Id="rId46" Type="http://schemas.openxmlformats.org/officeDocument/2006/relationships/hyperlink" Target="https://www.google.com/search?q=site%3Alinkedin.com/in%20%22Vos%20Distri%20Logistics%20Oss%22%20%28%22warehouse%20manager%22%20OR%20%22supply%20chain%20manager%22%20OR%20%22crossdock%20manager%22%29" TargetMode="External"/><Relationship Id="rId47" Type="http://schemas.openxmlformats.org/officeDocument/2006/relationships/hyperlink" Target="https://www.chain-logistics.nl/" TargetMode="External"/><Relationship Id="rId48" Type="http://schemas.openxmlformats.org/officeDocument/2006/relationships/hyperlink" Target="https://maps.google.com/?cid=2673039270042351106" TargetMode="External"/><Relationship Id="rId49" Type="http://schemas.openxmlformats.org/officeDocument/2006/relationships/hyperlink" Target="https://www.linkedin.com/search/results/people/?keywords=%22Chain%20Logistics%22%20warehouse%20manager" TargetMode="External"/><Relationship Id="rId50" Type="http://schemas.openxmlformats.org/officeDocument/2006/relationships/hyperlink" Target="https://www.linkedin.com/search/results/people/?keywords=%22Chain%20Logistics%22%20supply%20chain%20manager" TargetMode="External"/><Relationship Id="rId51" Type="http://schemas.openxmlformats.org/officeDocument/2006/relationships/hyperlink" Target="https://www.linkedin.com/search/results/people/?keywords=%22Chain%20Logistics%22%20crossdock%20manager" TargetMode="External"/><Relationship Id="rId52" Type="http://schemas.openxmlformats.org/officeDocument/2006/relationships/hyperlink" Target="https://www.google.com/search?q=site%3Alinkedin.com/in%20%22Chain%20Logistics%22%20%28%22warehouse%20manager%22%20OR%20%22supply%20chain%20manager%22%20OR%20%22crossdock%20manager%22%29" TargetMode="External"/><Relationship Id="rId53" Type="http://schemas.openxmlformats.org/officeDocument/2006/relationships/hyperlink" Target="https://www.sandersfritom.nl/" TargetMode="External"/><Relationship Id="rId54" Type="http://schemas.openxmlformats.org/officeDocument/2006/relationships/hyperlink" Target="https://maps.google.com/?cid=1432126676755629484" TargetMode="External"/><Relationship Id="rId55" Type="http://schemas.openxmlformats.org/officeDocument/2006/relationships/hyperlink" Target="https://www.linkedin.com/search/results/people/?keywords=%22Sanders%20%7C%20Fritom%22%20warehouse%20manager" TargetMode="External"/><Relationship Id="rId56" Type="http://schemas.openxmlformats.org/officeDocument/2006/relationships/hyperlink" Target="https://www.linkedin.com/search/results/people/?keywords=%22Sanders%20%7C%20Fritom%22%20supply%20chain%20manager" TargetMode="External"/><Relationship Id="rId57" Type="http://schemas.openxmlformats.org/officeDocument/2006/relationships/hyperlink" Target="https://www.linkedin.com/search/results/people/?keywords=%22Sanders%20%7C%20Fritom%22%20crossdock%20manager" TargetMode="External"/><Relationship Id="rId58" Type="http://schemas.openxmlformats.org/officeDocument/2006/relationships/hyperlink" Target="https://www.google.com/search?q=site%3Alinkedin.com/in%20%22Sanders%20%7C%20Fritom%22%20%28%22warehouse%20manager%22%20OR%20%22supply%20chain%20manager%22%20OR%20%22crossdock%20manager%22%29" TargetMode="External"/><Relationship Id="rId59" Type="http://schemas.openxmlformats.org/officeDocument/2006/relationships/hyperlink" Target="https://svztransport.nl/" TargetMode="External"/><Relationship Id="rId60" Type="http://schemas.openxmlformats.org/officeDocument/2006/relationships/hyperlink" Target="https://maps.google.com/?cid=9655159512734088382" TargetMode="External"/><Relationship Id="rId61" Type="http://schemas.openxmlformats.org/officeDocument/2006/relationships/hyperlink" Target="https://www.linkedin.com/search/results/people/?keywords=%22Van%20den%20Heuvel%20Logistiek%20Uden%22%20warehouse%20manager" TargetMode="External"/><Relationship Id="rId62" Type="http://schemas.openxmlformats.org/officeDocument/2006/relationships/hyperlink" Target="https://www.linkedin.com/search/results/people/?keywords=%22Van%20den%20Heuvel%20Logistiek%20Uden%22%20supply%20chain%20manager" TargetMode="External"/><Relationship Id="rId63" Type="http://schemas.openxmlformats.org/officeDocument/2006/relationships/hyperlink" Target="https://www.linkedin.com/search/results/people/?keywords=%22Van%20den%20Heuvel%20Logistiek%20Uden%22%20crossdock%20manager" TargetMode="External"/><Relationship Id="rId64" Type="http://schemas.openxmlformats.org/officeDocument/2006/relationships/hyperlink" Target="https://www.google.com/search?q=site%3Alinkedin.com/in%20%22Van%20den%20Heuvel%20Logistiek%20Uden%22%20%28%22warehouse%20manager%22%20OR%20%22supply%20chain%20manager%22%20OR%20%22crossdock%20manager%22%29" TargetMode="External"/><Relationship Id="rId65" Type="http://schemas.openxmlformats.org/officeDocument/2006/relationships/hyperlink" Target="http://dhl.com/" TargetMode="External"/><Relationship Id="rId66" Type="http://schemas.openxmlformats.org/officeDocument/2006/relationships/hyperlink" Target="https://maps.google.com/?cid=17561790718841606844" TargetMode="External"/><Relationship Id="rId67" Type="http://schemas.openxmlformats.org/officeDocument/2006/relationships/hyperlink" Target="https://www.linkedin.com/search/results/people/?keywords=%22DHL%20CityHub%20Helmond%22%20warehouse%20manager" TargetMode="External"/><Relationship Id="rId68" Type="http://schemas.openxmlformats.org/officeDocument/2006/relationships/hyperlink" Target="https://www.linkedin.com/search/results/people/?keywords=%22DHL%20CityHub%20Helmond%22%20supply%20chain%20manager" TargetMode="External"/><Relationship Id="rId69" Type="http://schemas.openxmlformats.org/officeDocument/2006/relationships/hyperlink" Target="https://www.linkedin.com/search/results/people/?keywords=%22DHL%20CityHub%20Helmond%22%20crossdock%20manager" TargetMode="External"/><Relationship Id="rId70" Type="http://schemas.openxmlformats.org/officeDocument/2006/relationships/hyperlink" Target="https://www.google.com/search?q=site%3Alinkedin.com/in%20%22DHL%20CityHub%20Helmond%22%20%28%22warehouse%20manager%22%20OR%20%22supply%20chain%20manager%22%20OR%20%22crossdock%20manager%22%29" TargetMode="External"/><Relationship Id="rId71" Type="http://schemas.openxmlformats.org/officeDocument/2006/relationships/hyperlink" Target="http://www.edco.nl/" TargetMode="External"/><Relationship Id="rId72" Type="http://schemas.openxmlformats.org/officeDocument/2006/relationships/hyperlink" Target="https://maps.google.com/?cid=7370792626876366579" TargetMode="External"/><Relationship Id="rId73" Type="http://schemas.openxmlformats.org/officeDocument/2006/relationships/hyperlink" Target="https://www.linkedin.com/search/results/people/?keywords=%22EDCO%20Helmond%22%20warehouse%20manager" TargetMode="External"/><Relationship Id="rId74" Type="http://schemas.openxmlformats.org/officeDocument/2006/relationships/hyperlink" Target="https://www.linkedin.com/search/results/people/?keywords=%22EDCO%20Helmond%22%20supply%20chain%20manager" TargetMode="External"/><Relationship Id="rId75" Type="http://schemas.openxmlformats.org/officeDocument/2006/relationships/hyperlink" Target="https://www.linkedin.com/search/results/people/?keywords=%22EDCO%20Helmond%22%20crossdock%20manager" TargetMode="External"/><Relationship Id="rId76" Type="http://schemas.openxmlformats.org/officeDocument/2006/relationships/hyperlink" Target="https://www.google.com/search?q=site%3Alinkedin.com/in%20%22EDCO%20Helmond%22%20%28%22warehouse%20manager%22%20OR%20%22supply%20chain%20manager%22%20OR%20%22crossdock%20manager%22%29" TargetMode="External"/><Relationship Id="rId77" Type="http://schemas.openxmlformats.org/officeDocument/2006/relationships/hyperlink" Target="https://www.facebook.com/friedislegers/" TargetMode="External"/><Relationship Id="rId78" Type="http://schemas.openxmlformats.org/officeDocument/2006/relationships/hyperlink" Target="https://maps.google.com/?cid=2045142797773211415" TargetMode="External"/><Relationship Id="rId79" Type="http://schemas.openxmlformats.org/officeDocument/2006/relationships/hyperlink" Target="https://www.linkedin.com/search/results/people/?keywords=%22Friedi%20Slegers%20Transport%20%26%20Warehousing%22%20warehouse%20manager" TargetMode="External"/><Relationship Id="rId80" Type="http://schemas.openxmlformats.org/officeDocument/2006/relationships/hyperlink" Target="https://www.linkedin.com/search/results/people/?keywords=%22Friedi%20Slegers%20Transport%20%26%20Warehousing%22%20supply%20chain%20manager" TargetMode="External"/><Relationship Id="rId81" Type="http://schemas.openxmlformats.org/officeDocument/2006/relationships/hyperlink" Target="https://www.linkedin.com/search/results/people/?keywords=%22Friedi%20Slegers%20Transport%20%26%20Warehousing%22%20crossdock%20manager" TargetMode="External"/><Relationship Id="rId82" Type="http://schemas.openxmlformats.org/officeDocument/2006/relationships/hyperlink" Target="https://www.google.com/search?q=site%3Alinkedin.com/in%20%22Friedi%20Slegers%20Transport%20%26%20Warehousing%22%20%28%22warehouse%20manager%22%20OR%20%22supply%20chain%20manager%22%20OR%20%22crossdock%20manager%22%29" TargetMode="External"/><Relationship Id="rId83" Type="http://schemas.openxmlformats.org/officeDocument/2006/relationships/hyperlink" Target="http://www.vegro.nl/" TargetMode="External"/><Relationship Id="rId84" Type="http://schemas.openxmlformats.org/officeDocument/2006/relationships/hyperlink" Target="https://maps.google.com/?cid=113879465661181979" TargetMode="External"/><Relationship Id="rId85" Type="http://schemas.openxmlformats.org/officeDocument/2006/relationships/hyperlink" Target="https://www.linkedin.com/search/results/people/?keywords=%22Vegro%20Distributiecentrum%22%20warehouse%20manager" TargetMode="External"/><Relationship Id="rId86" Type="http://schemas.openxmlformats.org/officeDocument/2006/relationships/hyperlink" Target="https://www.linkedin.com/search/results/people/?keywords=%22Vegro%20Distributiecentrum%22%20supply%20chain%20manager" TargetMode="External"/><Relationship Id="rId87" Type="http://schemas.openxmlformats.org/officeDocument/2006/relationships/hyperlink" Target="https://www.linkedin.com/search/results/people/?keywords=%22Vegro%20Distributiecentrum%22%20crossdock%20manager" TargetMode="External"/><Relationship Id="rId88" Type="http://schemas.openxmlformats.org/officeDocument/2006/relationships/hyperlink" Target="https://www.google.com/search?q=site%3Alinkedin.com/in%20%22Vegro%20Distributiecentrum%22%20%28%22warehouse%20manager%22%20OR%20%22supply%20chain%20manager%22%20OR%20%22crossdock%20manager%22%29" TargetMode="External"/><Relationship Id="rId89" Type="http://schemas.openxmlformats.org/officeDocument/2006/relationships/hyperlink" Target="http://www.alju.nl/" TargetMode="External"/><Relationship Id="rId90" Type="http://schemas.openxmlformats.org/officeDocument/2006/relationships/hyperlink" Target="https://maps.google.com/?cid=13114618256006344562" TargetMode="External"/><Relationship Id="rId91" Type="http://schemas.openxmlformats.org/officeDocument/2006/relationships/hyperlink" Target="https://www.linkedin.com/search/results/people/?keywords=%22Alju%22%20warehouse%20manager" TargetMode="External"/><Relationship Id="rId92" Type="http://schemas.openxmlformats.org/officeDocument/2006/relationships/hyperlink" Target="https://www.linkedin.com/search/results/people/?keywords=%22Alju%22%20supply%20chain%20manager" TargetMode="External"/><Relationship Id="rId93" Type="http://schemas.openxmlformats.org/officeDocument/2006/relationships/hyperlink" Target="https://www.linkedin.com/search/results/people/?keywords=%22Alju%22%20crossdock%20manager" TargetMode="External"/><Relationship Id="rId94" Type="http://schemas.openxmlformats.org/officeDocument/2006/relationships/hyperlink" Target="https://www.google.com/search?q=site%3Alinkedin.com/in%20%22Alju%22%20%28%22warehouse%20manager%22%20OR%20%22supply%20chain%20manager%22%20OR%20%22crossdock%20manager%22%29" TargetMode="External"/><Relationship Id="rId95" Type="http://schemas.openxmlformats.org/officeDocument/2006/relationships/hyperlink" Target="https://maps.google.com/?cid=6318697648461006578" TargetMode="External"/><Relationship Id="rId96" Type="http://schemas.openxmlformats.org/officeDocument/2006/relationships/hyperlink" Target="https://www.linkedin.com/search/results/people/?keywords=%22Hospital%20Logistics%22%20warehouse%20manager" TargetMode="External"/><Relationship Id="rId97" Type="http://schemas.openxmlformats.org/officeDocument/2006/relationships/hyperlink" Target="https://www.linkedin.com/search/results/people/?keywords=%22Hospital%20Logistics%22%20supply%20chain%20manager" TargetMode="External"/><Relationship Id="rId98" Type="http://schemas.openxmlformats.org/officeDocument/2006/relationships/hyperlink" Target="https://www.linkedin.com/search/results/people/?keywords=%22Hospital%20Logistics%22%20crossdock%20manager" TargetMode="External"/><Relationship Id="rId99" Type="http://schemas.openxmlformats.org/officeDocument/2006/relationships/hyperlink" Target="https://www.google.com/search?q=site%3Alinkedin.com/in%20%22Hospital%20Logistics%22%20%28%22warehouse%20manager%22%20OR%20%22supply%20chain%20manager%22%20OR%20%22crossdock%20manager%22%29" TargetMode="External"/><Relationship Id="rId100" Type="http://schemas.openxmlformats.org/officeDocument/2006/relationships/hyperlink" Target="https://mnglogistics.nl/" TargetMode="External"/><Relationship Id="rId101" Type="http://schemas.openxmlformats.org/officeDocument/2006/relationships/hyperlink" Target="https://maps.google.com/?cid=511851765127259343" TargetMode="External"/><Relationship Id="rId102" Type="http://schemas.openxmlformats.org/officeDocument/2006/relationships/hyperlink" Target="https://www.linkedin.com/search/results/people/?keywords=%22MNG%20Logistics%22%20warehouse%20manager" TargetMode="External"/><Relationship Id="rId103" Type="http://schemas.openxmlformats.org/officeDocument/2006/relationships/hyperlink" Target="https://www.linkedin.com/search/results/people/?keywords=%22MNG%20Logistics%22%20supply%20chain%20manager" TargetMode="External"/><Relationship Id="rId104" Type="http://schemas.openxmlformats.org/officeDocument/2006/relationships/hyperlink" Target="https://www.linkedin.com/search/results/people/?keywords=%22MNG%20Logistics%22%20crossdock%20manager" TargetMode="External"/><Relationship Id="rId105" Type="http://schemas.openxmlformats.org/officeDocument/2006/relationships/hyperlink" Target="https://www.google.com/search?q=site%3Alinkedin.com/in%20%22MNG%20Logistics%22%20%28%22warehouse%20manager%22%20OR%20%22supply%20chain%20manager%22%20OR%20%22crossdock%20manager%22%29" TargetMode="External"/><Relationship Id="rId106" Type="http://schemas.openxmlformats.org/officeDocument/2006/relationships/hyperlink" Target="http://www.plus.nl/" TargetMode="External"/><Relationship Id="rId107" Type="http://schemas.openxmlformats.org/officeDocument/2006/relationships/hyperlink" Target="https://maps.google.com/?cid=2204364137640544311" TargetMode="External"/><Relationship Id="rId108" Type="http://schemas.openxmlformats.org/officeDocument/2006/relationships/hyperlink" Target="https://www.linkedin.com/search/results/people/?keywords=%22PLUS%20Distributiecentrum%20Oss%22%20warehouse%20manager" TargetMode="External"/><Relationship Id="rId109" Type="http://schemas.openxmlformats.org/officeDocument/2006/relationships/hyperlink" Target="https://www.linkedin.com/search/results/people/?keywords=%22PLUS%20Distributiecentrum%20Oss%22%20supply%20chain%20manager" TargetMode="External"/><Relationship Id="rId110" Type="http://schemas.openxmlformats.org/officeDocument/2006/relationships/hyperlink" Target="https://www.linkedin.com/search/results/people/?keywords=%22PLUS%20Distributiecentrum%20Oss%22%20crossdock%20manager" TargetMode="External"/><Relationship Id="rId111" Type="http://schemas.openxmlformats.org/officeDocument/2006/relationships/hyperlink" Target="https://www.google.com/search?q=site%3Alinkedin.com/in%20%22PLUS%20Distributiecentrum%20Oss%22%20%28%22warehouse%20manager%22%20OR%20%22supply%20chain%20manager%22%20OR%20%22crossdock%20manager%22%29" TargetMode="External"/><Relationship Id="rId112" Type="http://schemas.openxmlformats.org/officeDocument/2006/relationships/hyperlink" Target="http://www.itcholland.com/" TargetMode="External"/><Relationship Id="rId113" Type="http://schemas.openxmlformats.org/officeDocument/2006/relationships/hyperlink" Target="https://maps.google.com/?cid=2149118184617370345" TargetMode="External"/><Relationship Id="rId114" Type="http://schemas.openxmlformats.org/officeDocument/2006/relationships/hyperlink" Target="https://www.linkedin.com/search/results/people/?keywords=%22Transport%20ITC%20Holland%22%20warehouse%20manager" TargetMode="External"/><Relationship Id="rId115" Type="http://schemas.openxmlformats.org/officeDocument/2006/relationships/hyperlink" Target="https://www.linkedin.com/search/results/people/?keywords=%22Transport%20ITC%20Holland%22%20supply%20chain%20manager" TargetMode="External"/><Relationship Id="rId116" Type="http://schemas.openxmlformats.org/officeDocument/2006/relationships/hyperlink" Target="https://www.linkedin.com/search/results/people/?keywords=%22Transport%20ITC%20Holland%22%20crossdock%20manager" TargetMode="External"/><Relationship Id="rId117" Type="http://schemas.openxmlformats.org/officeDocument/2006/relationships/hyperlink" Target="https://www.google.com/search?q=site%3Alinkedin.com/in%20%22Transport%20ITC%20Holland%22%20%28%22warehouse%20manager%22%20OR%20%22supply%20chain%20manager%22%20OR%20%22crossdock%20manager%22%29" TargetMode="External"/><Relationship Id="rId118" Type="http://schemas.openxmlformats.org/officeDocument/2006/relationships/hyperlink" Target="http://www.vice-versa.org/" TargetMode="External"/><Relationship Id="rId119" Type="http://schemas.openxmlformats.org/officeDocument/2006/relationships/hyperlink" Target="https://maps.google.com/?cid=12396078551201572525" TargetMode="External"/><Relationship Id="rId120" Type="http://schemas.openxmlformats.org/officeDocument/2006/relationships/hyperlink" Target="https://www.linkedin.com/search/results/people/?keywords=%22Vice%20Versa%22%20warehouse%20manager" TargetMode="External"/><Relationship Id="rId121" Type="http://schemas.openxmlformats.org/officeDocument/2006/relationships/hyperlink" Target="https://www.linkedin.com/search/results/people/?keywords=%22Vice%20Versa%22%20supply%20chain%20manager" TargetMode="External"/><Relationship Id="rId122" Type="http://schemas.openxmlformats.org/officeDocument/2006/relationships/hyperlink" Target="https://www.linkedin.com/search/results/people/?keywords=%22Vice%20Versa%22%20crossdock%20manager" TargetMode="External"/><Relationship Id="rId123" Type="http://schemas.openxmlformats.org/officeDocument/2006/relationships/hyperlink" Target="https://www.google.com/search?q=site%3Alinkedin.com/in%20%22Vice%20Versa%22%20%28%22warehouse%20manager%22%20OR%20%22supply%20chain%20manager%22%20OR%20%22crossdock%20manager%22%29" TargetMode="External"/><Relationship Id="rId124" Type="http://schemas.openxmlformats.org/officeDocument/2006/relationships/hyperlink" Target="https://maps.google.com/?cid=14630795041546313973" TargetMode="External"/><Relationship Id="rId125" Type="http://schemas.openxmlformats.org/officeDocument/2006/relationships/hyperlink" Target="https://www.linkedin.com/search/results/people/?keywords=%22ADEZZ%20magazijn%22%20warehouse%20manager" TargetMode="External"/><Relationship Id="rId126" Type="http://schemas.openxmlformats.org/officeDocument/2006/relationships/hyperlink" Target="https://www.linkedin.com/search/results/people/?keywords=%22ADEZZ%20magazijn%22%20supply%20chain%20manager" TargetMode="External"/><Relationship Id="rId127" Type="http://schemas.openxmlformats.org/officeDocument/2006/relationships/hyperlink" Target="https://www.linkedin.com/search/results/people/?keywords=%22ADEZZ%20magazijn%22%20crossdock%20manager" TargetMode="External"/><Relationship Id="rId128" Type="http://schemas.openxmlformats.org/officeDocument/2006/relationships/hyperlink" Target="https://www.google.com/search?q=site%3Alinkedin.com/in%20%22ADEZZ%20magazijn%22%20%28%22warehouse%20manager%22%20OR%20%22supply%20chain%20manager%22%20OR%20%22crossdock%20manager%22%29" TargetMode="External"/><Relationship Id="rId129" Type="http://schemas.openxmlformats.org/officeDocument/2006/relationships/hyperlink" Target="https://www.destil.nl/over-destil/vestigingen/destil-uden" TargetMode="External"/><Relationship Id="rId130" Type="http://schemas.openxmlformats.org/officeDocument/2006/relationships/hyperlink" Target="https://maps.google.com/?cid=7939894752596258867" TargetMode="External"/><Relationship Id="rId131" Type="http://schemas.openxmlformats.org/officeDocument/2006/relationships/hyperlink" Target="https://www.linkedin.com/search/results/people/?keywords=%22DESTIL%20Uden%22%20warehouse%20manager" TargetMode="External"/><Relationship Id="rId132" Type="http://schemas.openxmlformats.org/officeDocument/2006/relationships/hyperlink" Target="https://www.linkedin.com/search/results/people/?keywords=%22DESTIL%20Uden%22%20supply%20chain%20manager" TargetMode="External"/><Relationship Id="rId133" Type="http://schemas.openxmlformats.org/officeDocument/2006/relationships/hyperlink" Target="https://www.linkedin.com/search/results/people/?keywords=%22DESTIL%20Uden%22%20crossdock%20manager" TargetMode="External"/><Relationship Id="rId134" Type="http://schemas.openxmlformats.org/officeDocument/2006/relationships/hyperlink" Target="https://www.google.com/search?q=site%3Alinkedin.com/in%20%22DESTIL%20Uden%22%20%28%22warehouse%20manager%22%20OR%20%22supply%20chain%20manager%22%20OR%20%22crossdock%20manager%22%29" TargetMode="External"/><Relationship Id="rId135" Type="http://schemas.openxmlformats.org/officeDocument/2006/relationships/hyperlink" Target="https://maps.google.com/?cid=9258199245611284904" TargetMode="External"/><Relationship Id="rId136" Type="http://schemas.openxmlformats.org/officeDocument/2006/relationships/hyperlink" Target="https://www.linkedin.com/search/results/people/?keywords=%22Modine%22%20warehouse%20manager" TargetMode="External"/><Relationship Id="rId137" Type="http://schemas.openxmlformats.org/officeDocument/2006/relationships/hyperlink" Target="https://www.linkedin.com/search/results/people/?keywords=%22Modine%22%20supply%20chain%20manager" TargetMode="External"/><Relationship Id="rId138" Type="http://schemas.openxmlformats.org/officeDocument/2006/relationships/hyperlink" Target="https://www.linkedin.com/search/results/people/?keywords=%22Modine%22%20crossdock%20manager" TargetMode="External"/><Relationship Id="rId139" Type="http://schemas.openxmlformats.org/officeDocument/2006/relationships/hyperlink" Target="https://www.google.com/search?q=site%3Alinkedin.com/in%20%22Modine%22%20%28%22warehouse%20manager%22%20OR%20%22supply%20chain%20manager%22%20OR%20%22crossdock%20manager%22%29" TargetMode="External"/><Relationship Id="rId140" Type="http://schemas.openxmlformats.org/officeDocument/2006/relationships/hyperlink" Target="https://www.sidekix.nl/" TargetMode="External"/><Relationship Id="rId141" Type="http://schemas.openxmlformats.org/officeDocument/2006/relationships/hyperlink" Target="https://maps.google.com/?cid=7910136737276523443" TargetMode="External"/><Relationship Id="rId142" Type="http://schemas.openxmlformats.org/officeDocument/2006/relationships/hyperlink" Target="https://www.linkedin.com/search/results/people/?keywords=%22Sidekix%22%20warehouse%20manager" TargetMode="External"/><Relationship Id="rId143" Type="http://schemas.openxmlformats.org/officeDocument/2006/relationships/hyperlink" Target="https://www.linkedin.com/search/results/people/?keywords=%22Sidekix%22%20supply%20chain%20manager" TargetMode="External"/><Relationship Id="rId144" Type="http://schemas.openxmlformats.org/officeDocument/2006/relationships/hyperlink" Target="https://www.linkedin.com/search/results/people/?keywords=%22Sidekix%22%20crossdock%20manager" TargetMode="External"/><Relationship Id="rId145" Type="http://schemas.openxmlformats.org/officeDocument/2006/relationships/hyperlink" Target="https://www.google.com/search?q=site%3Alinkedin.com/in%20%22Sidekix%22%20%28%22warehouse%20manager%22%20OR%20%22supply%20chain%20manager%22%20OR%20%22crossdock%20manager%22%29" TargetMode="External"/><Relationship Id="rId146" Type="http://schemas.openxmlformats.org/officeDocument/2006/relationships/hyperlink" Target="http://www.lionlogistics.nl/" TargetMode="External"/><Relationship Id="rId147" Type="http://schemas.openxmlformats.org/officeDocument/2006/relationships/hyperlink" Target="https://maps.google.com/?cid=15064730386591560321" TargetMode="External"/><Relationship Id="rId148" Type="http://schemas.openxmlformats.org/officeDocument/2006/relationships/hyperlink" Target="https://www.linkedin.com/search/results/people/?keywords=%22Lion%20Logistics%20Oss%22%20warehouse%20manager" TargetMode="External"/><Relationship Id="rId149" Type="http://schemas.openxmlformats.org/officeDocument/2006/relationships/hyperlink" Target="https://www.linkedin.com/search/results/people/?keywords=%22Lion%20Logistics%20Oss%22%20supply%20chain%20manager" TargetMode="External"/><Relationship Id="rId150" Type="http://schemas.openxmlformats.org/officeDocument/2006/relationships/hyperlink" Target="https://www.linkedin.com/search/results/people/?keywords=%22Lion%20Logistics%20Oss%22%20crossdock%20manager" TargetMode="External"/><Relationship Id="rId151" Type="http://schemas.openxmlformats.org/officeDocument/2006/relationships/hyperlink" Target="https://www.google.com/search?q=site%3Alinkedin.com/in%20%22Lion%20Logistics%20Oss%22%20%28%22warehouse%20manager%22%20OR%20%22supply%20chain%20manager%22%20OR%20%22crossdock%20manager%22%29" TargetMode="External"/><Relationship Id="rId152" Type="http://schemas.openxmlformats.org/officeDocument/2006/relationships/hyperlink" Target="http://www.hufa-logistics.nl/" TargetMode="External"/><Relationship Id="rId153" Type="http://schemas.openxmlformats.org/officeDocument/2006/relationships/hyperlink" Target="https://maps.google.com/?cid=10543237392675366954" TargetMode="External"/><Relationship Id="rId154" Type="http://schemas.openxmlformats.org/officeDocument/2006/relationships/hyperlink" Target="https://www.linkedin.com/search/results/people/?keywords=%22HUFA%20Logistics%22%20warehouse%20manager" TargetMode="External"/><Relationship Id="rId155" Type="http://schemas.openxmlformats.org/officeDocument/2006/relationships/hyperlink" Target="https://www.linkedin.com/search/results/people/?keywords=%22HUFA%20Logistics%22%20supply%20chain%20manager" TargetMode="External"/><Relationship Id="rId156" Type="http://schemas.openxmlformats.org/officeDocument/2006/relationships/hyperlink" Target="https://www.linkedin.com/search/results/people/?keywords=%22HUFA%20Logistics%22%20crossdock%20manager" TargetMode="External"/><Relationship Id="rId157" Type="http://schemas.openxmlformats.org/officeDocument/2006/relationships/hyperlink" Target="https://www.google.com/search?q=site%3Alinkedin.com/in%20%22HUFA%20Logistics%22%20%28%22warehouse%20manager%22%20OR%20%22supply%20chain%20manager%22%20OR%20%22crossdock%20manager%22%29" TargetMode="External"/><Relationship Id="rId158" Type="http://schemas.openxmlformats.org/officeDocument/2006/relationships/hyperlink" Target="https://www.vangrunsventransport.nl/" TargetMode="External"/><Relationship Id="rId159" Type="http://schemas.openxmlformats.org/officeDocument/2006/relationships/hyperlink" Target="https://maps.google.com/?cid=10204087204805364179" TargetMode="External"/><Relationship Id="rId160" Type="http://schemas.openxmlformats.org/officeDocument/2006/relationships/hyperlink" Target="https://www.linkedin.com/search/results/people/?keywords=%22Van%20Grunsven%20Transport%22%20warehouse%20manager" TargetMode="External"/><Relationship Id="rId161" Type="http://schemas.openxmlformats.org/officeDocument/2006/relationships/hyperlink" Target="https://www.linkedin.com/search/results/people/?keywords=%22Van%20Grunsven%20Transport%22%20supply%20chain%20manager" TargetMode="External"/><Relationship Id="rId162" Type="http://schemas.openxmlformats.org/officeDocument/2006/relationships/hyperlink" Target="https://www.linkedin.com/search/results/people/?keywords=%22Van%20Grunsven%20Transport%22%20crossdock%20manager" TargetMode="External"/><Relationship Id="rId163" Type="http://schemas.openxmlformats.org/officeDocument/2006/relationships/hyperlink" Target="https://www.google.com/search?q=site%3Alinkedin.com/in%20%22Van%20Grunsven%20Transport%22%20%28%22warehouse%20manager%22%20OR%20%22supply%20chain%20manager%22%20OR%20%22crossdock%20manager%22%29" TargetMode="External"/><Relationship Id="rId164" Type="http://schemas.openxmlformats.org/officeDocument/2006/relationships/hyperlink" Target="http://www.transport-4u.nl/" TargetMode="External"/><Relationship Id="rId165" Type="http://schemas.openxmlformats.org/officeDocument/2006/relationships/hyperlink" Target="https://maps.google.com/?cid=2846782139817014815" TargetMode="External"/><Relationship Id="rId166" Type="http://schemas.openxmlformats.org/officeDocument/2006/relationships/hyperlink" Target="https://www.linkedin.com/search/results/people/?keywords=%22Transport%204u%22%20warehouse%20manager" TargetMode="External"/><Relationship Id="rId167" Type="http://schemas.openxmlformats.org/officeDocument/2006/relationships/hyperlink" Target="https://www.linkedin.com/search/results/people/?keywords=%22Transport%204u%22%20supply%20chain%20manager" TargetMode="External"/><Relationship Id="rId168" Type="http://schemas.openxmlformats.org/officeDocument/2006/relationships/hyperlink" Target="https://www.linkedin.com/search/results/people/?keywords=%22Transport%204u%22%20crossdock%20manager" TargetMode="External"/><Relationship Id="rId169" Type="http://schemas.openxmlformats.org/officeDocument/2006/relationships/hyperlink" Target="https://www.google.com/search?q=site%3Alinkedin.com/in%20%22Transport%204u%22%20%28%22warehouse%20manager%22%20OR%20%22supply%20chain%20manager%22%20OR%20%22crossdock%20manager%22%29" TargetMode="External"/><Relationship Id="rId170" Type="http://schemas.openxmlformats.org/officeDocument/2006/relationships/hyperlink" Target="http://www.vendrigtransport.nl/" TargetMode="External"/><Relationship Id="rId171" Type="http://schemas.openxmlformats.org/officeDocument/2006/relationships/hyperlink" Target="https://maps.google.com/?cid=6289469009100065767" TargetMode="External"/><Relationship Id="rId172" Type="http://schemas.openxmlformats.org/officeDocument/2006/relationships/hyperlink" Target="https://www.linkedin.com/search/results/people/?keywords=%22Vendrig%20Transport%22%20warehouse%20manager" TargetMode="External"/><Relationship Id="rId173" Type="http://schemas.openxmlformats.org/officeDocument/2006/relationships/hyperlink" Target="https://www.linkedin.com/search/results/people/?keywords=%22Vendrig%20Transport%22%20supply%20chain%20manager" TargetMode="External"/><Relationship Id="rId174" Type="http://schemas.openxmlformats.org/officeDocument/2006/relationships/hyperlink" Target="https://www.linkedin.com/search/results/people/?keywords=%22Vendrig%20Transport%22%20crossdock%20manager" TargetMode="External"/><Relationship Id="rId175" Type="http://schemas.openxmlformats.org/officeDocument/2006/relationships/hyperlink" Target="https://www.google.com/search?q=site%3Alinkedin.com/in%20%22Vendrig%20Transport%22%20%28%22warehouse%20manager%22%20OR%20%22supply%20chain%20manager%22%20OR%20%22crossdock%20manager%22%20OR%20%22eigenaar%22%20OR%20%22directeur%22%29" TargetMode="External"/><Relationship Id="rId176" Type="http://schemas.openxmlformats.org/officeDocument/2006/relationships/hyperlink" Target="http://www.gebroedersvaneijk.nl/" TargetMode="External"/><Relationship Id="rId177" Type="http://schemas.openxmlformats.org/officeDocument/2006/relationships/hyperlink" Target="https://maps.google.com/?cid=9687817989803624893" TargetMode="External"/><Relationship Id="rId178" Type="http://schemas.openxmlformats.org/officeDocument/2006/relationships/hyperlink" Target="https://www.linkedin.com/search/results/people/?keywords=%22Gebroeders%20van%20Eijk%20Logistiek%22%20warehouse%20manager" TargetMode="External"/><Relationship Id="rId179" Type="http://schemas.openxmlformats.org/officeDocument/2006/relationships/hyperlink" Target="https://www.linkedin.com/search/results/people/?keywords=%22Gebroeders%20van%20Eijk%20Logistiek%22%20supply%20chain%20manager" TargetMode="External"/><Relationship Id="rId180" Type="http://schemas.openxmlformats.org/officeDocument/2006/relationships/hyperlink" Target="https://www.linkedin.com/search/results/people/?keywords=%22Gebroeders%20van%20Eijk%20Logistiek%22%20crossdock%20manager" TargetMode="External"/><Relationship Id="rId181" Type="http://schemas.openxmlformats.org/officeDocument/2006/relationships/hyperlink" Target="https://www.google.com/search?q=site%3Alinkedin.com/in%20%22Gebroeders%20van%20Eijk%20Logistiek%22%20%28%22warehouse%20manager%22%20OR%20%22supply%20chain%20manager%22%20OR%20%22crossdock%20manager%22%20OR%20%22eigenaar%22%20OR%20%22directeur%22%29" TargetMode="External"/><Relationship Id="rId182" Type="http://schemas.openxmlformats.org/officeDocument/2006/relationships/hyperlink" Target="https://www.gebroedersvaneijk.nl/" TargetMode="External"/><Relationship Id="rId183" Type="http://schemas.openxmlformats.org/officeDocument/2006/relationships/hyperlink" Target="https://maps.google.com/?cid=7661837632567934843" TargetMode="External"/><Relationship Id="rId184" Type="http://schemas.openxmlformats.org/officeDocument/2006/relationships/hyperlink" Target="https://www.linkedin.com/search/results/people/?keywords=%22Gebroeders%20van%20Eijk%20Transport%22%20warehouse%20manager" TargetMode="External"/><Relationship Id="rId185" Type="http://schemas.openxmlformats.org/officeDocument/2006/relationships/hyperlink" Target="https://www.linkedin.com/search/results/people/?keywords=%22Gebroeders%20van%20Eijk%20Transport%22%20supply%20chain%20manager" TargetMode="External"/><Relationship Id="rId186" Type="http://schemas.openxmlformats.org/officeDocument/2006/relationships/hyperlink" Target="https://www.linkedin.com/search/results/people/?keywords=%22Gebroeders%20van%20Eijk%20Transport%22%20crossdock%20manager" TargetMode="External"/><Relationship Id="rId187" Type="http://schemas.openxmlformats.org/officeDocument/2006/relationships/hyperlink" Target="https://www.google.com/search?q=site%3Alinkedin.com/in%20%22Gebroeders%20van%20Eijk%20Transport%22%20%28%22warehouse%20manager%22%20OR%20%22supply%20chain%20manager%22%20OR%20%22crossdock%20manager%22%20OR%20%22eigenaar%22%20OR%20%22directeur%22%29" TargetMode="External"/><Relationship Id="rId188" Type="http://schemas.openxmlformats.org/officeDocument/2006/relationships/hyperlink" Target="http://www.nuntrans.nl/" TargetMode="External"/><Relationship Id="rId189" Type="http://schemas.openxmlformats.org/officeDocument/2006/relationships/hyperlink" Target="https://maps.google.com/?cid=11727078406503264714" TargetMode="External"/><Relationship Id="rId190" Type="http://schemas.openxmlformats.org/officeDocument/2006/relationships/hyperlink" Target="https://www.linkedin.com/search/results/people/?keywords=%22van%20Nunen%20Transport%20%26%20Logistiek%22%20warehouse%20manager" TargetMode="External"/><Relationship Id="rId191" Type="http://schemas.openxmlformats.org/officeDocument/2006/relationships/hyperlink" Target="https://www.linkedin.com/search/results/people/?keywords=%22van%20Nunen%20Transport%20%26%20Logistiek%22%20supply%20chain%20manager" TargetMode="External"/><Relationship Id="rId192" Type="http://schemas.openxmlformats.org/officeDocument/2006/relationships/hyperlink" Target="https://www.linkedin.com/search/results/people/?keywords=%22van%20Nunen%20Transport%20%26%20Logistiek%22%20crossdock%20manager" TargetMode="External"/><Relationship Id="rId193" Type="http://schemas.openxmlformats.org/officeDocument/2006/relationships/hyperlink" Target="https://www.google.com/search?q=site%3Alinkedin.com/in%20%22van%20Nunen%20Transport%20%26%20Logistiek%22%20%28%22warehouse%20manager%22%20OR%20%22supply%20chain%20manager%22%20OR%20%22crossdock%20manager%22%20OR%20%22eigenaar%22%20OR%20%22directeur%22%29" TargetMode="External"/><Relationship Id="rId194" Type="http://schemas.openxmlformats.org/officeDocument/2006/relationships/hyperlink" Target="http://www.driessenvlierden.nl/" TargetMode="External"/><Relationship Id="rId195" Type="http://schemas.openxmlformats.org/officeDocument/2006/relationships/hyperlink" Target="https://maps.google.com/?cid=8997060848604918199" TargetMode="External"/><Relationship Id="rId196" Type="http://schemas.openxmlformats.org/officeDocument/2006/relationships/hyperlink" Target="https://www.linkedin.com/search/results/people/?keywords=%22Driessen%20Vlierden%20Transport%22%20warehouse%20manager" TargetMode="External"/><Relationship Id="rId197" Type="http://schemas.openxmlformats.org/officeDocument/2006/relationships/hyperlink" Target="https://www.linkedin.com/search/results/people/?keywords=%22Driessen%20Vlierden%20Transport%22%20supply%20chain%20manager" TargetMode="External"/><Relationship Id="rId198" Type="http://schemas.openxmlformats.org/officeDocument/2006/relationships/hyperlink" Target="https://www.linkedin.com/search/results/people/?keywords=%22Driessen%20Vlierden%20Transport%22%20crossdock%20manager" TargetMode="External"/><Relationship Id="rId199" Type="http://schemas.openxmlformats.org/officeDocument/2006/relationships/hyperlink" Target="https://www.google.com/search?q=site%3Alinkedin.com/in%20%22Driessen%20Vlierden%20Transport%22%20%28%22warehouse%20manager%22%20OR%20%22supply%20chain%20manager%22%20OR%20%22crossdock%20manager%22%20OR%20%22eigenaar%22%20OR%20%22directeur%22%29" TargetMode="External"/><Relationship Id="rId200" Type="http://schemas.openxmlformats.org/officeDocument/2006/relationships/hyperlink" Target="http://www.janderijk.com/" TargetMode="External"/><Relationship Id="rId201" Type="http://schemas.openxmlformats.org/officeDocument/2006/relationships/hyperlink" Target="https://maps.google.com/?cid=1449410260850988992" TargetMode="External"/><Relationship Id="rId202" Type="http://schemas.openxmlformats.org/officeDocument/2006/relationships/hyperlink" Target="https://www.linkedin.com/search/results/people/?keywords=%22Jan%20de%20Rijk%20Logistics%22%20warehouse%20manager" TargetMode="External"/><Relationship Id="rId203" Type="http://schemas.openxmlformats.org/officeDocument/2006/relationships/hyperlink" Target="https://www.linkedin.com/search/results/people/?keywords=%22Jan%20de%20Rijk%20Logistics%22%20supply%20chain%20manager" TargetMode="External"/><Relationship Id="rId204" Type="http://schemas.openxmlformats.org/officeDocument/2006/relationships/hyperlink" Target="https://www.linkedin.com/search/results/people/?keywords=%22Jan%20de%20Rijk%20Logistics%22%20crossdock%20manager" TargetMode="External"/><Relationship Id="rId205" Type="http://schemas.openxmlformats.org/officeDocument/2006/relationships/hyperlink" Target="https://www.google.com/search?q=site%3Alinkedin.com/in%20%22Jan%20de%20Rijk%20Logistics%22%20%28%22warehouse%20manager%22%20OR%20%22supply%20chain%20manager%22%20OR%20%22crossdock%20manager%22%20OR%20%22eigenaar%22%20OR%20%22directeur%22%29" TargetMode="External"/><Relationship Id="rId206" Type="http://schemas.openxmlformats.org/officeDocument/2006/relationships/hyperlink" Target="http://www.manderslogistics.nl/" TargetMode="External"/><Relationship Id="rId207" Type="http://schemas.openxmlformats.org/officeDocument/2006/relationships/hyperlink" Target="https://maps.google.com/?cid=9293641261852110265" TargetMode="External"/><Relationship Id="rId208" Type="http://schemas.openxmlformats.org/officeDocument/2006/relationships/hyperlink" Target="https://www.linkedin.com/search/results/people/?keywords=%22Manders%20Transport%20%26%20Logistics%22%20warehouse%20manager" TargetMode="External"/><Relationship Id="rId209" Type="http://schemas.openxmlformats.org/officeDocument/2006/relationships/hyperlink" Target="https://www.linkedin.com/search/results/people/?keywords=%22Manders%20Transport%20%26%20Logistics%22%20supply%20chain%20manager" TargetMode="External"/><Relationship Id="rId210" Type="http://schemas.openxmlformats.org/officeDocument/2006/relationships/hyperlink" Target="https://www.linkedin.com/search/results/people/?keywords=%22Manders%20Transport%20%26%20Logistics%22%20crossdock%20manager" TargetMode="External"/><Relationship Id="rId211" Type="http://schemas.openxmlformats.org/officeDocument/2006/relationships/hyperlink" Target="https://www.google.com/search?q=site%3Alinkedin.com/in%20%22Manders%20Transport%20%26%20Logistics%22%20%28%22warehouse%20manager%22%20OR%20%22supply%20chain%20manager%22%20OR%20%22crossdock%20manager%22%20OR%20%22eigenaar%22%20OR%20%22directeur%22%29" TargetMode="External"/><Relationship Id="rId212" Type="http://schemas.openxmlformats.org/officeDocument/2006/relationships/hyperlink" Target="http://www.schneider-transport.com/" TargetMode="External"/><Relationship Id="rId213" Type="http://schemas.openxmlformats.org/officeDocument/2006/relationships/hyperlink" Target="https://maps.google.com/?cid=12700227534222803375" TargetMode="External"/><Relationship Id="rId214" Type="http://schemas.openxmlformats.org/officeDocument/2006/relationships/hyperlink" Target="https://www.linkedin.com/search/results/people/?keywords=%22Schneider%20Expeditie%22%20warehouse%20manager" TargetMode="External"/><Relationship Id="rId215" Type="http://schemas.openxmlformats.org/officeDocument/2006/relationships/hyperlink" Target="https://www.linkedin.com/search/results/people/?keywords=%22Schneider%20Expeditie%22%20supply%20chain%20manager" TargetMode="External"/><Relationship Id="rId216" Type="http://schemas.openxmlformats.org/officeDocument/2006/relationships/hyperlink" Target="https://www.linkedin.com/search/results/people/?keywords=%22Schneider%20Expeditie%22%20crossdock%20manager" TargetMode="External"/><Relationship Id="rId217" Type="http://schemas.openxmlformats.org/officeDocument/2006/relationships/hyperlink" Target="https://www.google.com/search?q=site%3Alinkedin.com/in%20%22Schneider%20Expeditie%22%20%28%22warehouse%20manager%22%20OR%20%22supply%20chain%20manager%22%20OR%20%22crossdock%20manager%22%20OR%20%22eigenaar%22%20OR%20%22directeur%22%29" TargetMode="External"/><Relationship Id="rId218" Type="http://schemas.openxmlformats.org/officeDocument/2006/relationships/hyperlink" Target="https://www.lankveld.com/" TargetMode="External"/><Relationship Id="rId219" Type="http://schemas.openxmlformats.org/officeDocument/2006/relationships/hyperlink" Target="https://maps.google.com/?cid=12482057392346298672" TargetMode="External"/><Relationship Id="rId220" Type="http://schemas.openxmlformats.org/officeDocument/2006/relationships/hyperlink" Target="https://www.linkedin.com/search/results/people/?keywords=%22Lankveld%20Logistics%22%20warehouse%20manager" TargetMode="External"/><Relationship Id="rId221" Type="http://schemas.openxmlformats.org/officeDocument/2006/relationships/hyperlink" Target="https://www.linkedin.com/search/results/people/?keywords=%22Lankveld%20Logistics%22%20supply%20chain%20manager" TargetMode="External"/><Relationship Id="rId222" Type="http://schemas.openxmlformats.org/officeDocument/2006/relationships/hyperlink" Target="https://www.linkedin.com/search/results/people/?keywords=%22Lankveld%20Logistics%22%20crossdock%20manager" TargetMode="External"/><Relationship Id="rId223" Type="http://schemas.openxmlformats.org/officeDocument/2006/relationships/hyperlink" Target="https://www.google.com/search?q=site%3Alinkedin.com/in%20%22Lankveld%20Logistics%22%20%28%22warehouse%20manager%22%20OR%20%22supply%20chain%20manager%22%20OR%20%22crossdock%20manager%22%20OR%20%22eigenaar%22%20OR%20%22directeur%22%29" TargetMode="External"/><Relationship Id="rId224" Type="http://schemas.openxmlformats.org/officeDocument/2006/relationships/hyperlink" Target="http://www.vanudenbekxtransport.nl/" TargetMode="External"/><Relationship Id="rId225" Type="http://schemas.openxmlformats.org/officeDocument/2006/relationships/hyperlink" Target="https://maps.google.com/?cid=5622176600401383962" TargetMode="External"/><Relationship Id="rId226" Type="http://schemas.openxmlformats.org/officeDocument/2006/relationships/hyperlink" Target="https://www.linkedin.com/search/results/people/?keywords=%22Van%20Uden%20-%20Bekx%20Transport%22%20warehouse%20manager" TargetMode="External"/><Relationship Id="rId227" Type="http://schemas.openxmlformats.org/officeDocument/2006/relationships/hyperlink" Target="https://www.linkedin.com/search/results/people/?keywords=%22Van%20Uden%20-%20Bekx%20Transport%22%20supply%20chain%20manager" TargetMode="External"/><Relationship Id="rId228" Type="http://schemas.openxmlformats.org/officeDocument/2006/relationships/hyperlink" Target="https://www.linkedin.com/search/results/people/?keywords=%22Van%20Uden%20-%20Bekx%20Transport%22%20crossdock%20manager" TargetMode="External"/><Relationship Id="rId229" Type="http://schemas.openxmlformats.org/officeDocument/2006/relationships/hyperlink" Target="https://www.google.com/search?q=site%3Alinkedin.com/in%20%22Van%20Uden%20-%20Bekx%20Transport%22%20%28%22warehouse%20manager%22%20OR%20%22supply%20chain%20manager%22%20OR%20%22crossdock%20manager%22%20OR%20%22eigenaar%22%20OR%20%22directeur%22%29" TargetMode="External"/><Relationship Id="rId230" Type="http://schemas.openxmlformats.org/officeDocument/2006/relationships/hyperlink" Target="https://maps.google.com/?cid=2574640369439233724" TargetMode="External"/><Relationship Id="rId231" Type="http://schemas.openxmlformats.org/officeDocument/2006/relationships/hyperlink" Target="https://www.linkedin.com/search/results/people/?keywords=%22Expeditie%20Wim%20van%20Heugten%22%20warehouse%20manager" TargetMode="External"/><Relationship Id="rId232" Type="http://schemas.openxmlformats.org/officeDocument/2006/relationships/hyperlink" Target="https://www.linkedin.com/search/results/people/?keywords=%22Expeditie%20Wim%20van%20Heugten%22%20supply%20chain%20manager" TargetMode="External"/><Relationship Id="rId233" Type="http://schemas.openxmlformats.org/officeDocument/2006/relationships/hyperlink" Target="https://www.linkedin.com/search/results/people/?keywords=%22Expeditie%20Wim%20van%20Heugten%22%20crossdock%20manager" TargetMode="External"/><Relationship Id="rId234" Type="http://schemas.openxmlformats.org/officeDocument/2006/relationships/hyperlink" Target="https://www.google.com/search?q=site%3Alinkedin.com/in%20%22Expeditie%20Wim%20van%20Heugten%22%20%28%22warehouse%20manager%22%20OR%20%22supply%20chain%20manager%22%20OR%20%22crossdock%20manager%22%20OR%20%22eigenaar%22%20OR%20%22directeur%22%29" TargetMode="External"/><Relationship Id="rId235" Type="http://schemas.openxmlformats.org/officeDocument/2006/relationships/hyperlink" Target="http://www.heuvelbakel.nl/" TargetMode="External"/><Relationship Id="rId236" Type="http://schemas.openxmlformats.org/officeDocument/2006/relationships/hyperlink" Target="https://maps.google.com/?cid=9117625217272788114" TargetMode="External"/><Relationship Id="rId237" Type="http://schemas.openxmlformats.org/officeDocument/2006/relationships/hyperlink" Target="https://www.linkedin.com/search/results/people/?keywords=%22van%20den%20Heuvel%20Op-%20en%20overslag%22%20warehouse%20manager" TargetMode="External"/><Relationship Id="rId238" Type="http://schemas.openxmlformats.org/officeDocument/2006/relationships/hyperlink" Target="https://www.linkedin.com/search/results/people/?keywords=%22van%20den%20Heuvel%20Op-%20en%20overslag%22%20supply%20chain%20manager" TargetMode="External"/><Relationship Id="rId239" Type="http://schemas.openxmlformats.org/officeDocument/2006/relationships/hyperlink" Target="https://www.linkedin.com/search/results/people/?keywords=%22van%20den%20Heuvel%20Op-%20en%20overslag%22%20crossdock%20manager" TargetMode="External"/><Relationship Id="rId240" Type="http://schemas.openxmlformats.org/officeDocument/2006/relationships/hyperlink" Target="https://www.google.com/search?q=site%3Alinkedin.com/in%20%22van%20den%20Heuvel%20Op-%20en%20overslag%22%20%28%22warehouse%20manager%22%20OR%20%22supply%20chain%20manager%22%20OR%20%22crossdock%20manager%22%20OR%20%22eigenaar%22%20OR%20%22directeur%22%29" TargetMode="External"/><Relationship Id="rId241" Type="http://schemas.openxmlformats.org/officeDocument/2006/relationships/hyperlink" Target="http://www.vvtransportbv.nl/" TargetMode="External"/><Relationship Id="rId242" Type="http://schemas.openxmlformats.org/officeDocument/2006/relationships/hyperlink" Target="https://maps.google.com/?cid=13631545448763997466" TargetMode="External"/><Relationship Id="rId243" Type="http://schemas.openxmlformats.org/officeDocument/2006/relationships/hyperlink" Target="https://www.linkedin.com/search/results/people/?keywords=%22V%20%26%20V%20Transport%22%20warehouse%20manager" TargetMode="External"/><Relationship Id="rId244" Type="http://schemas.openxmlformats.org/officeDocument/2006/relationships/hyperlink" Target="https://www.linkedin.com/search/results/people/?keywords=%22V%20%26%20V%20Transport%22%20supply%20chain%20manager" TargetMode="External"/><Relationship Id="rId245" Type="http://schemas.openxmlformats.org/officeDocument/2006/relationships/hyperlink" Target="https://www.linkedin.com/search/results/people/?keywords=%22V%20%26%20V%20Transport%22%20crossdock%20manager" TargetMode="External"/><Relationship Id="rId246" Type="http://schemas.openxmlformats.org/officeDocument/2006/relationships/hyperlink" Target="https://www.google.com/search?q=site%3Alinkedin.com/in%20%22V%20%26%20V%20Transport%22%20%28%22warehouse%20manager%22%20OR%20%22supply%20chain%20manager%22%20OR%20%22crossdock%20manager%22%20OR%20%22eigenaar%22%20OR%20%22directeur%22%29" TargetMode="External"/><Relationship Id="rId247" Type="http://schemas.openxmlformats.org/officeDocument/2006/relationships/hyperlink" Target="http://www.hoefnagelstransport.nl/" TargetMode="External"/><Relationship Id="rId248" Type="http://schemas.openxmlformats.org/officeDocument/2006/relationships/hyperlink" Target="https://maps.google.com/?cid=1981537863628635958" TargetMode="External"/><Relationship Id="rId249" Type="http://schemas.openxmlformats.org/officeDocument/2006/relationships/hyperlink" Target="https://www.linkedin.com/search/results/people/?keywords=%22H.%20Essers%20Asten%22%20warehouse%20manager" TargetMode="External"/><Relationship Id="rId250" Type="http://schemas.openxmlformats.org/officeDocument/2006/relationships/hyperlink" Target="https://www.linkedin.com/search/results/people/?keywords=%22H.%20Essers%20Asten%22%20supply%20chain%20manager" TargetMode="External"/><Relationship Id="rId251" Type="http://schemas.openxmlformats.org/officeDocument/2006/relationships/hyperlink" Target="https://www.linkedin.com/search/results/people/?keywords=%22H.%20Essers%20Asten%22%20crossdock%20manager" TargetMode="External"/><Relationship Id="rId252" Type="http://schemas.openxmlformats.org/officeDocument/2006/relationships/hyperlink" Target="https://www.google.com/search?q=site%3Alinkedin.com/in%20%22H.%20Essers%20Asten%22%20%28%22warehouse%20manager%22%20OR%20%22supply%20chain%20manager%22%20OR%20%22crossdock%20manager%22%20OR%20%22eigenaar%22%20OR%20%22directeur%22%29" TargetMode="External"/><Relationship Id="rId253" Type="http://schemas.openxmlformats.org/officeDocument/2006/relationships/hyperlink" Target="https://www.onelineage.com/" TargetMode="External"/><Relationship Id="rId254" Type="http://schemas.openxmlformats.org/officeDocument/2006/relationships/hyperlink" Target="https://maps.google.com/?cid=16687219227616632830" TargetMode="External"/><Relationship Id="rId255" Type="http://schemas.openxmlformats.org/officeDocument/2006/relationships/hyperlink" Target="https://www.linkedin.com/search/results/people/?keywords=%22Lineage%20Asten%22%20warehouse%20manager" TargetMode="External"/><Relationship Id="rId256" Type="http://schemas.openxmlformats.org/officeDocument/2006/relationships/hyperlink" Target="https://www.linkedin.com/search/results/people/?keywords=%22Lineage%20Asten%22%20supply%20chain%20manager" TargetMode="External"/><Relationship Id="rId257" Type="http://schemas.openxmlformats.org/officeDocument/2006/relationships/hyperlink" Target="https://www.linkedin.com/search/results/people/?keywords=%22Lineage%20Asten%22%20crossdock%20manager" TargetMode="External"/><Relationship Id="rId258" Type="http://schemas.openxmlformats.org/officeDocument/2006/relationships/hyperlink" Target="https://www.google.com/search?q=site%3Alinkedin.com/in%20%22Lineage%20Asten%22%20%28%22warehouse%20manager%22%20OR%20%22supply%20chain%20manager%22%20OR%20%22crossdock%20manager%22%20OR%20%22eigenaar%22%20OR%20%22directeur%22%29" TargetMode="External"/><Relationship Id="rId259" Type="http://schemas.openxmlformats.org/officeDocument/2006/relationships/hyperlink" Target="https://ddefulfilment.nl/" TargetMode="External"/><Relationship Id="rId260" Type="http://schemas.openxmlformats.org/officeDocument/2006/relationships/hyperlink" Target="https://maps.google.com/?cid=2781614704551310110" TargetMode="External"/><Relationship Id="rId261" Type="http://schemas.openxmlformats.org/officeDocument/2006/relationships/hyperlink" Target="https://www.linkedin.com/search/results/people/?keywords=%22DDEfulfilment%22%20warehouse%20manager" TargetMode="External"/><Relationship Id="rId262" Type="http://schemas.openxmlformats.org/officeDocument/2006/relationships/hyperlink" Target="https://www.linkedin.com/search/results/people/?keywords=%22DDEfulfilment%22%20supply%20chain%20manager" TargetMode="External"/><Relationship Id="rId263" Type="http://schemas.openxmlformats.org/officeDocument/2006/relationships/hyperlink" Target="https://www.linkedin.com/search/results/people/?keywords=%22DDEfulfilment%22%20crossdock%20manager" TargetMode="External"/><Relationship Id="rId264" Type="http://schemas.openxmlformats.org/officeDocument/2006/relationships/hyperlink" Target="https://www.google.com/search?q=site%3Alinkedin.com/in%20%22DDEfulfilment%22%20%28%22warehouse%20manager%22%20OR%20%22supply%20chain%20manager%22%20OR%20%22crossdock%20manager%22%20OR%20%22eigenaar%22%20OR%20%22directeur%22%29" TargetMode="External"/><Relationship Id="rId265" Type="http://schemas.openxmlformats.org/officeDocument/2006/relationships/hyperlink" Target="https://futurefulfilment.nl/" TargetMode="External"/><Relationship Id="rId266" Type="http://schemas.openxmlformats.org/officeDocument/2006/relationships/hyperlink" Target="https://maps.google.com/?cid=2401665211187358264" TargetMode="External"/><Relationship Id="rId267" Type="http://schemas.openxmlformats.org/officeDocument/2006/relationships/hyperlink" Target="https://www.linkedin.com/search/results/people/?keywords=%22Future%20Fulfilment%22%20warehouse%20manager" TargetMode="External"/><Relationship Id="rId268" Type="http://schemas.openxmlformats.org/officeDocument/2006/relationships/hyperlink" Target="https://www.linkedin.com/search/results/people/?keywords=%22Future%20Fulfilment%22%20supply%20chain%20manager" TargetMode="External"/><Relationship Id="rId269" Type="http://schemas.openxmlformats.org/officeDocument/2006/relationships/hyperlink" Target="https://www.linkedin.com/search/results/people/?keywords=%22Future%20Fulfilment%22%20crossdock%20manager" TargetMode="External"/><Relationship Id="rId270" Type="http://schemas.openxmlformats.org/officeDocument/2006/relationships/hyperlink" Target="https://www.google.com/search?q=site%3Alinkedin.com/in%20%22Future%20Fulfilment%22%20%28%22warehouse%20manager%22%20OR%20%22supply%20chain%20manager%22%20OR%20%22crossdock%20manager%22%20OR%20%22eigenaar%22%20OR%20%22directeur%22%29" TargetMode="External"/><Relationship Id="rId271" Type="http://schemas.openxmlformats.org/officeDocument/2006/relationships/hyperlink" Target="https://www.emtrade.nl/" TargetMode="External"/><Relationship Id="rId272" Type="http://schemas.openxmlformats.org/officeDocument/2006/relationships/hyperlink" Target="https://maps.google.com/?cid=444199720849070824" TargetMode="External"/><Relationship Id="rId273" Type="http://schemas.openxmlformats.org/officeDocument/2006/relationships/hyperlink" Target="https://www.linkedin.com/search/results/people/?keywords=%22Emtrade%22%20warehouse%20manager" TargetMode="External"/><Relationship Id="rId274" Type="http://schemas.openxmlformats.org/officeDocument/2006/relationships/hyperlink" Target="https://www.linkedin.com/search/results/people/?keywords=%22Emtrade%22%20supply%20chain%20manager" TargetMode="External"/><Relationship Id="rId275" Type="http://schemas.openxmlformats.org/officeDocument/2006/relationships/hyperlink" Target="https://www.linkedin.com/search/results/people/?keywords=%22Emtrade%22%20crossdock%20manager" TargetMode="External"/><Relationship Id="rId276" Type="http://schemas.openxmlformats.org/officeDocument/2006/relationships/hyperlink" Target="https://www.google.com/search?q=site%3Alinkedin.com/in%20%22Emtrade%22%20%28%22warehouse%20manager%22%20OR%20%22supply%20chain%20manager%22%20OR%20%22crossdock%20manager%22%20OR%20%22eigenaar%22%20OR%20%22directeur%22%29" TargetMode="External"/><Relationship Id="rId277" Type="http://schemas.openxmlformats.org/officeDocument/2006/relationships/hyperlink" Target="https://www.geldroplogistics.nl/" TargetMode="External"/><Relationship Id="rId278" Type="http://schemas.openxmlformats.org/officeDocument/2006/relationships/hyperlink" Target="https://maps.google.com/?cid=11726268059400573444" TargetMode="External"/><Relationship Id="rId279" Type="http://schemas.openxmlformats.org/officeDocument/2006/relationships/hyperlink" Target="https://www.linkedin.com/search/results/people/?keywords=%22Bloemendaal%20Pallets%22%20warehouse%20manager" TargetMode="External"/><Relationship Id="rId280" Type="http://schemas.openxmlformats.org/officeDocument/2006/relationships/hyperlink" Target="https://www.linkedin.com/search/results/people/?keywords=%22Bloemendaal%20Pallets%22%20supply%20chain%20manager" TargetMode="External"/><Relationship Id="rId281" Type="http://schemas.openxmlformats.org/officeDocument/2006/relationships/hyperlink" Target="https://www.linkedin.com/search/results/people/?keywords=%22Bloemendaal%20Pallets%22%20crossdock%20manager" TargetMode="External"/><Relationship Id="rId282" Type="http://schemas.openxmlformats.org/officeDocument/2006/relationships/hyperlink" Target="https://www.google.com/search?q=site%3Alinkedin.com/in%20%22Bloemendaal%20Pallets%22%20%28%22warehouse%20manager%22%20OR%20%22supply%20chain%20manager%22%20OR%20%22crossdock%20manager%22%20OR%20%22eigenaar%22%20OR%20%22directeur%22%29" TargetMode="External"/><Relationship Id="rId283" Type="http://schemas.openxmlformats.org/officeDocument/2006/relationships/hyperlink" Target="http://www.venpoultry.nl/" TargetMode="External"/><Relationship Id="rId284" Type="http://schemas.openxmlformats.org/officeDocument/2006/relationships/hyperlink" Target="https://maps.google.com/?cid=2736455547679897023" TargetMode="External"/><Relationship Id="rId285" Type="http://schemas.openxmlformats.org/officeDocument/2006/relationships/hyperlink" Target="https://www.linkedin.com/search/results/people/?keywords=%22Ven%20Poultry%22%20warehouse%20manager" TargetMode="External"/><Relationship Id="rId286" Type="http://schemas.openxmlformats.org/officeDocument/2006/relationships/hyperlink" Target="https://www.linkedin.com/search/results/people/?keywords=%22Ven%20Poultry%22%20supply%20chain%20manager" TargetMode="External"/><Relationship Id="rId287" Type="http://schemas.openxmlformats.org/officeDocument/2006/relationships/hyperlink" Target="https://www.linkedin.com/search/results/people/?keywords=%22Ven%20Poultry%22%20crossdock%20manager" TargetMode="External"/><Relationship Id="rId288" Type="http://schemas.openxmlformats.org/officeDocument/2006/relationships/hyperlink" Target="https://www.google.com/search?q=site%3Alinkedin.com/in%20%22Ven%20Poultry%22%20%28%22warehouse%20manager%22%20OR%20%22supply%20chain%20manager%22%20OR%20%22crossdock%20manager%22%20OR%20%22eigenaar%22%20OR%20%22directeur%22%29" TargetMode="External"/><Relationship Id="rId289" Type="http://schemas.openxmlformats.org/officeDocument/2006/relationships/hyperlink" Target="https://maps.google.com/?cid=4191683505786101288" TargetMode="External"/><Relationship Id="rId290" Type="http://schemas.openxmlformats.org/officeDocument/2006/relationships/hyperlink" Target="https://www.linkedin.com/search/results/people/?keywords=%22Peter%20Slits%20Transport%22%20warehouse%20manager" TargetMode="External"/><Relationship Id="rId291" Type="http://schemas.openxmlformats.org/officeDocument/2006/relationships/hyperlink" Target="https://www.linkedin.com/search/results/people/?keywords=%22Peter%20Slits%20Transport%22%20supply%20chain%20manager" TargetMode="External"/><Relationship Id="rId292" Type="http://schemas.openxmlformats.org/officeDocument/2006/relationships/hyperlink" Target="https://www.linkedin.com/search/results/people/?keywords=%22Peter%20Slits%20Transport%22%20crossdock%20manager" TargetMode="External"/><Relationship Id="rId293" Type="http://schemas.openxmlformats.org/officeDocument/2006/relationships/hyperlink" Target="https://www.google.com/search?q=site%3Alinkedin.com/in%20%22Peter%20Slits%20Transport%22%20%28%22warehouse%20manager%22%20OR%20%22supply%20chain%20manager%22%20OR%20%22crossdock%20manager%22%20OR%20%22eigenaar%22%20OR%20%22directeur%22%29" TargetMode="External"/><Relationship Id="rId294" Type="http://schemas.openxmlformats.org/officeDocument/2006/relationships/hyperlink" Target="http://www.kanterstransport.nl/" TargetMode="External"/><Relationship Id="rId295" Type="http://schemas.openxmlformats.org/officeDocument/2006/relationships/hyperlink" Target="https://maps.google.com/?cid=14551805645441201520" TargetMode="External"/><Relationship Id="rId296" Type="http://schemas.openxmlformats.org/officeDocument/2006/relationships/hyperlink" Target="https://www.linkedin.com/search/results/people/?keywords=%22A.%20Kanters%20Internationaal%20Transport%22%20warehouse%20manager" TargetMode="External"/><Relationship Id="rId297" Type="http://schemas.openxmlformats.org/officeDocument/2006/relationships/hyperlink" Target="https://www.linkedin.com/search/results/people/?keywords=%22A.%20Kanters%20Internationaal%20Transport%22%20supply%20chain%20manager" TargetMode="External"/><Relationship Id="rId298" Type="http://schemas.openxmlformats.org/officeDocument/2006/relationships/hyperlink" Target="https://www.linkedin.com/search/results/people/?keywords=%22A.%20Kanters%20Internationaal%20Transport%22%20crossdock%20manager" TargetMode="External"/><Relationship Id="rId299" Type="http://schemas.openxmlformats.org/officeDocument/2006/relationships/hyperlink" Target="https://www.google.com/search?q=site%3Alinkedin.com/in%20%22A.%20Kanters%20Internationaal%20Transport%22%20%28%22warehouse%20manager%22%20OR%20%22supply%20chain%20manager%22%20OR%20%22crossdock%20manager%22%20OR%20%22eigenaar%22%20OR%20%22directeur%22%29" TargetMode="External"/><Relationship Id="rId300" Type="http://schemas.openxmlformats.org/officeDocument/2006/relationships/hyperlink" Target="http://www.hurkmans-transport.nl/" TargetMode="External"/><Relationship Id="rId301" Type="http://schemas.openxmlformats.org/officeDocument/2006/relationships/hyperlink" Target="https://maps.google.com/?cid=15204363185382055389" TargetMode="External"/><Relationship Id="rId302" Type="http://schemas.openxmlformats.org/officeDocument/2006/relationships/hyperlink" Target="https://www.linkedin.com/search/results/people/?keywords=%22Hurkmans%20Transport%22%20warehouse%20manager" TargetMode="External"/><Relationship Id="rId303" Type="http://schemas.openxmlformats.org/officeDocument/2006/relationships/hyperlink" Target="https://www.linkedin.com/search/results/people/?keywords=%22Hurkmans%20Transport%22%20supply%20chain%20manager" TargetMode="External"/><Relationship Id="rId304" Type="http://schemas.openxmlformats.org/officeDocument/2006/relationships/hyperlink" Target="https://www.linkedin.com/search/results/people/?keywords=%22Hurkmans%20Transport%22%20crossdock%20manager" TargetMode="External"/><Relationship Id="rId305" Type="http://schemas.openxmlformats.org/officeDocument/2006/relationships/hyperlink" Target="https://www.google.com/search?q=site%3Alinkedin.com/in%20%22Hurkmans%20Transport%22%20%28%22warehouse%20manager%22%20OR%20%22supply%20chain%20manager%22%20OR%20%22crossdock%20manager%22%20OR%20%22eigenaar%22%20OR%20%22directeur%22%29" TargetMode="External"/><Relationship Id="rId306" Type="http://schemas.openxmlformats.org/officeDocument/2006/relationships/hyperlink" Target="https://www.beverscontainertransport.nl/" TargetMode="External"/><Relationship Id="rId307" Type="http://schemas.openxmlformats.org/officeDocument/2006/relationships/hyperlink" Target="https://maps.google.com/?cid=13809773079583035556" TargetMode="External"/><Relationship Id="rId308" Type="http://schemas.openxmlformats.org/officeDocument/2006/relationships/hyperlink" Target="https://www.linkedin.com/search/results/people/?keywords=%22Bevers%20Transport%22%20warehouse%20manager" TargetMode="External"/><Relationship Id="rId309" Type="http://schemas.openxmlformats.org/officeDocument/2006/relationships/hyperlink" Target="https://www.linkedin.com/search/results/people/?keywords=%22Bevers%20Transport%22%20supply%20chain%20manager" TargetMode="External"/><Relationship Id="rId310" Type="http://schemas.openxmlformats.org/officeDocument/2006/relationships/hyperlink" Target="https://www.linkedin.com/search/results/people/?keywords=%22Bevers%20Transport%22%20crossdock%20manager" TargetMode="External"/><Relationship Id="rId311" Type="http://schemas.openxmlformats.org/officeDocument/2006/relationships/hyperlink" Target="https://www.google.com/search?q=site%3Alinkedin.com/in%20%22Bevers%20Transport%22%20%28%22warehouse%20manager%22%20OR%20%22supply%20chain%20manager%22%20OR%20%22crossdock%20manager%22%20OR%20%22eigenaar%22%20OR%20%22directeur%22%29" TargetMode="External"/><Relationship Id="rId312" Type="http://schemas.openxmlformats.org/officeDocument/2006/relationships/hyperlink" Target="https://www.snelvervoer.nl/" TargetMode="External"/><Relationship Id="rId313" Type="http://schemas.openxmlformats.org/officeDocument/2006/relationships/hyperlink" Target="https://maps.google.com/?cid=11640476305925335488" TargetMode="External"/><Relationship Id="rId314" Type="http://schemas.openxmlformats.org/officeDocument/2006/relationships/hyperlink" Target="https://www.linkedin.com/search/results/people/?keywords=%22Snelvervoer%20v.d.%20Boogaard%22%20warehouse%20manager" TargetMode="External"/><Relationship Id="rId315" Type="http://schemas.openxmlformats.org/officeDocument/2006/relationships/hyperlink" Target="https://www.linkedin.com/search/results/people/?keywords=%22Snelvervoer%20v.d.%20Boogaard%22%20supply%20chain%20manager" TargetMode="External"/><Relationship Id="rId316" Type="http://schemas.openxmlformats.org/officeDocument/2006/relationships/hyperlink" Target="https://www.linkedin.com/search/results/people/?keywords=%22Snelvervoer%20v.d.%20Boogaard%22%20crossdock%20manager" TargetMode="External"/><Relationship Id="rId317" Type="http://schemas.openxmlformats.org/officeDocument/2006/relationships/hyperlink" Target="https://www.google.com/search?q=site%3Alinkedin.com/in%20%22Snelvervoer%20v.d.%20Boogaard%22%20%28%22warehouse%20manager%22%20OR%20%22supply%20chain%20manager%22%20OR%20%22crossdock%20manager%22%20OR%20%22eigenaar%22%20OR%20%22directeur%22%29" TargetMode="External"/><Relationship Id="rId318" Type="http://schemas.openxmlformats.org/officeDocument/2006/relationships/hyperlink" Target="https://www.manders.eu/" TargetMode="External"/><Relationship Id="rId319" Type="http://schemas.openxmlformats.org/officeDocument/2006/relationships/hyperlink" Target="https://maps.google.com/?cid=5626921549688272579" TargetMode="External"/><Relationship Id="rId320" Type="http://schemas.openxmlformats.org/officeDocument/2006/relationships/hyperlink" Target="https://www.linkedin.com/search/results/people/?keywords=%22Manders%20Handel%20%26%20Transport%22%20warehouse%20manager" TargetMode="External"/><Relationship Id="rId321" Type="http://schemas.openxmlformats.org/officeDocument/2006/relationships/hyperlink" Target="https://www.linkedin.com/search/results/people/?keywords=%22Manders%20Handel%20%26%20Transport%22%20supply%20chain%20manager" TargetMode="External"/><Relationship Id="rId322" Type="http://schemas.openxmlformats.org/officeDocument/2006/relationships/hyperlink" Target="https://www.linkedin.com/search/results/people/?keywords=%22Manders%20Handel%20%26%20Transport%22%20crossdock%20manager" TargetMode="External"/><Relationship Id="rId323" Type="http://schemas.openxmlformats.org/officeDocument/2006/relationships/hyperlink" Target="https://www.google.com/search?q=site%3Alinkedin.com/in%20%22Manders%20Handel%20%26%20Transport%22%20%28%22warehouse%20manager%22%20OR%20%22supply%20chain%20manager%22%20OR%20%22crossdock%20manager%22%20OR%20%22eigenaar%22%20OR%20%22directeur%22%29" TargetMode="External"/><Relationship Id="rId32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2"/>
    <col collapsed="false" customWidth="true" hidden="false" outlineLevel="0" max="3" min="3" style="1" width="26"/>
    <col collapsed="false" customWidth="true" hidden="false" outlineLevel="0" max="4" min="4" style="1" width="22"/>
    <col collapsed="false" customWidth="true" hidden="false" outlineLevel="0" max="6" min="5" style="1" width="10"/>
    <col collapsed="false" customWidth="true" hidden="false" outlineLevel="0" max="7" min="7" style="1" width="16"/>
    <col collapsed="false" customWidth="true" hidden="false" outlineLevel="0" max="8" min="8" style="1" width="28"/>
    <col collapsed="false" customWidth="true" hidden="false" outlineLevel="0" max="9" min="9" style="1" width="13"/>
    <col collapsed="false" customWidth="true" hidden="false" outlineLevel="0" max="10" min="10" style="1" width="20"/>
    <col collapsed="false" customWidth="true" hidden="false" outlineLevel="0" max="11" min="11" style="1" width="16"/>
    <col collapsed="false" customWidth="true" hidden="false" outlineLevel="0" max="12" min="12" style="1" width="24"/>
    <col collapsed="false" customWidth="true" hidden="false" outlineLevel="0" max="13" min="13" style="1" width="48"/>
    <col collapsed="false" customWidth="true" hidden="false" outlineLevel="0" max="14" min="14" style="1" width="40"/>
    <col collapsed="false" customWidth="true" hidden="false" outlineLevel="0" max="15" min="15" style="1" width="16"/>
    <col collapsed="false" customWidth="true" hidden="false" outlineLevel="0" max="16" min="16" style="1" width="14"/>
    <col collapsed="false" customWidth="true" hidden="false" outlineLevel="0" max="17" min="17" style="1" width="24"/>
    <col collapsed="false" customWidth="true" hidden="false" outlineLevel="0" max="18" min="18" style="1" width="30"/>
    <col collapsed="false" customWidth="true" hidden="false" outlineLevel="0" max="22" min="19" style="1" width="16"/>
    <col collapsed="false" customWidth="true" hidden="false" outlineLevel="0" max="23" min="23" style="0" width="14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2" t="s">
        <v>22</v>
      </c>
    </row>
    <row r="2" customFormat="false" ht="23.25" hidden="false" customHeight="true" outlineLevel="0" collapsed="false">
      <c r="A2" s="4" t="s">
        <v>23</v>
      </c>
      <c r="B2" s="5" t="s">
        <v>24</v>
      </c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7" t="s">
        <v>30</v>
      </c>
      <c r="I2" s="7" t="s">
        <v>31</v>
      </c>
      <c r="J2" s="8"/>
      <c r="K2" s="8"/>
      <c r="L2" s="8"/>
      <c r="M2" s="6" t="s">
        <v>32</v>
      </c>
      <c r="N2" s="6" t="s">
        <v>33</v>
      </c>
      <c r="O2" s="8" t="s">
        <v>34</v>
      </c>
      <c r="P2" s="9"/>
      <c r="Q2" s="8"/>
      <c r="R2" s="8"/>
      <c r="S2" s="10" t="s">
        <v>35</v>
      </c>
      <c r="T2" s="10" t="s">
        <v>35</v>
      </c>
      <c r="U2" s="10" t="s">
        <v>35</v>
      </c>
      <c r="V2" s="10" t="s">
        <v>35</v>
      </c>
    </row>
    <row r="3" customFormat="false" ht="23.25" hidden="false" customHeight="true" outlineLevel="0" collapsed="false">
      <c r="A3" s="4" t="s">
        <v>23</v>
      </c>
      <c r="B3" s="5" t="s">
        <v>36</v>
      </c>
      <c r="C3" s="6" t="s">
        <v>37</v>
      </c>
      <c r="D3" s="6" t="s">
        <v>38</v>
      </c>
      <c r="E3" s="6" t="s">
        <v>39</v>
      </c>
      <c r="F3" s="6" t="s">
        <v>28</v>
      </c>
      <c r="G3" s="6" t="s">
        <v>40</v>
      </c>
      <c r="H3" s="6"/>
      <c r="I3" s="7" t="s">
        <v>31</v>
      </c>
      <c r="J3" s="8"/>
      <c r="K3" s="8"/>
      <c r="L3" s="8"/>
      <c r="M3" s="6" t="s">
        <v>41</v>
      </c>
      <c r="N3" s="6" t="s">
        <v>33</v>
      </c>
      <c r="O3" s="8" t="s">
        <v>34</v>
      </c>
      <c r="P3" s="9"/>
      <c r="Q3" s="8"/>
      <c r="R3" s="8"/>
      <c r="S3" s="10" t="s">
        <v>35</v>
      </c>
      <c r="T3" s="10" t="s">
        <v>35</v>
      </c>
      <c r="U3" s="10" t="s">
        <v>35</v>
      </c>
      <c r="V3" s="10" t="s">
        <v>35</v>
      </c>
    </row>
    <row r="4" customFormat="false" ht="23.25" hidden="false" customHeight="true" outlineLevel="0" collapsed="false">
      <c r="A4" s="4" t="s">
        <v>23</v>
      </c>
      <c r="B4" s="5" t="s">
        <v>42</v>
      </c>
      <c r="C4" s="6" t="s">
        <v>43</v>
      </c>
      <c r="D4" s="6" t="s">
        <v>44</v>
      </c>
      <c r="E4" s="6" t="s">
        <v>45</v>
      </c>
      <c r="F4" s="6" t="s">
        <v>28</v>
      </c>
      <c r="G4" s="6" t="s">
        <v>46</v>
      </c>
      <c r="H4" s="7" t="s">
        <v>47</v>
      </c>
      <c r="I4" s="7" t="s">
        <v>31</v>
      </c>
      <c r="J4" s="8"/>
      <c r="K4" s="8"/>
      <c r="L4" s="8"/>
      <c r="M4" s="6" t="s">
        <v>48</v>
      </c>
      <c r="N4" s="6" t="s">
        <v>33</v>
      </c>
      <c r="O4" s="8" t="s">
        <v>34</v>
      </c>
      <c r="P4" s="9"/>
      <c r="Q4" s="8"/>
      <c r="R4" s="8"/>
      <c r="S4" s="10" t="s">
        <v>35</v>
      </c>
      <c r="T4" s="10" t="s">
        <v>35</v>
      </c>
      <c r="U4" s="10" t="s">
        <v>35</v>
      </c>
      <c r="V4" s="10" t="s">
        <v>35</v>
      </c>
    </row>
    <row r="5" customFormat="false" ht="23.25" hidden="false" customHeight="true" outlineLevel="0" collapsed="false">
      <c r="A5" s="4" t="s">
        <v>23</v>
      </c>
      <c r="B5" s="5" t="s">
        <v>49</v>
      </c>
      <c r="C5" s="6" t="s">
        <v>37</v>
      </c>
      <c r="D5" s="6" t="s">
        <v>50</v>
      </c>
      <c r="E5" s="6" t="s">
        <v>51</v>
      </c>
      <c r="F5" s="6" t="s">
        <v>28</v>
      </c>
      <c r="G5" s="6" t="s">
        <v>52</v>
      </c>
      <c r="H5" s="7" t="s">
        <v>53</v>
      </c>
      <c r="I5" s="7" t="s">
        <v>31</v>
      </c>
      <c r="J5" s="8"/>
      <c r="K5" s="8"/>
      <c r="L5" s="8"/>
      <c r="M5" s="6" t="s">
        <v>54</v>
      </c>
      <c r="N5" s="6" t="s">
        <v>33</v>
      </c>
      <c r="O5" s="8" t="s">
        <v>34</v>
      </c>
      <c r="P5" s="9"/>
      <c r="Q5" s="8"/>
      <c r="R5" s="8"/>
      <c r="S5" s="10" t="s">
        <v>35</v>
      </c>
      <c r="T5" s="10" t="s">
        <v>35</v>
      </c>
      <c r="U5" s="10" t="s">
        <v>35</v>
      </c>
      <c r="V5" s="10" t="s">
        <v>35</v>
      </c>
    </row>
    <row r="6" customFormat="false" ht="23.25" hidden="false" customHeight="true" outlineLevel="0" collapsed="false">
      <c r="A6" s="4" t="s">
        <v>23</v>
      </c>
      <c r="B6" s="5" t="s">
        <v>55</v>
      </c>
      <c r="C6" s="6" t="s">
        <v>56</v>
      </c>
      <c r="D6" s="6" t="s">
        <v>57</v>
      </c>
      <c r="E6" s="6" t="s">
        <v>58</v>
      </c>
      <c r="F6" s="6" t="s">
        <v>59</v>
      </c>
      <c r="G6" s="6" t="s">
        <v>60</v>
      </c>
      <c r="H6" s="7" t="s">
        <v>61</v>
      </c>
      <c r="I6" s="7" t="s">
        <v>31</v>
      </c>
      <c r="J6" s="8"/>
      <c r="K6" s="8"/>
      <c r="L6" s="8"/>
      <c r="M6" s="6" t="s">
        <v>62</v>
      </c>
      <c r="N6" s="6" t="s">
        <v>33</v>
      </c>
      <c r="O6" s="8" t="s">
        <v>34</v>
      </c>
      <c r="P6" s="9"/>
      <c r="Q6" s="8"/>
      <c r="R6" s="8"/>
      <c r="S6" s="10" t="s">
        <v>35</v>
      </c>
      <c r="T6" s="10" t="s">
        <v>35</v>
      </c>
      <c r="U6" s="10" t="s">
        <v>35</v>
      </c>
      <c r="V6" s="10" t="s">
        <v>35</v>
      </c>
    </row>
    <row r="7" customFormat="false" ht="23.25" hidden="false" customHeight="true" outlineLevel="0" collapsed="false">
      <c r="A7" s="4" t="s">
        <v>23</v>
      </c>
      <c r="B7" s="5" t="s">
        <v>63</v>
      </c>
      <c r="C7" s="6" t="s">
        <v>64</v>
      </c>
      <c r="D7" s="6" t="s">
        <v>65</v>
      </c>
      <c r="E7" s="6" t="s">
        <v>66</v>
      </c>
      <c r="F7" s="6" t="s">
        <v>59</v>
      </c>
      <c r="G7" s="6" t="s">
        <v>67</v>
      </c>
      <c r="H7" s="6"/>
      <c r="I7" s="7" t="s">
        <v>31</v>
      </c>
      <c r="J7" s="8"/>
      <c r="K7" s="8"/>
      <c r="L7" s="8"/>
      <c r="M7" s="6" t="s">
        <v>68</v>
      </c>
      <c r="N7" s="6" t="s">
        <v>33</v>
      </c>
      <c r="O7" s="8" t="s">
        <v>34</v>
      </c>
      <c r="P7" s="9"/>
      <c r="Q7" s="8"/>
      <c r="R7" s="8"/>
      <c r="S7" s="10" t="s">
        <v>35</v>
      </c>
      <c r="T7" s="10" t="s">
        <v>35</v>
      </c>
      <c r="U7" s="10" t="s">
        <v>35</v>
      </c>
      <c r="V7" s="10" t="s">
        <v>35</v>
      </c>
    </row>
    <row r="8" customFormat="false" ht="23.25" hidden="false" customHeight="true" outlineLevel="0" collapsed="false">
      <c r="A8" s="4" t="s">
        <v>23</v>
      </c>
      <c r="B8" s="5" t="s">
        <v>69</v>
      </c>
      <c r="C8" s="6" t="s">
        <v>70</v>
      </c>
      <c r="D8" s="6" t="s">
        <v>71</v>
      </c>
      <c r="E8" s="6" t="s">
        <v>72</v>
      </c>
      <c r="F8" s="6" t="s">
        <v>59</v>
      </c>
      <c r="G8" s="6" t="s">
        <v>73</v>
      </c>
      <c r="H8" s="7" t="s">
        <v>74</v>
      </c>
      <c r="I8" s="7" t="s">
        <v>31</v>
      </c>
      <c r="J8" s="8"/>
      <c r="K8" s="8"/>
      <c r="L8" s="8"/>
      <c r="M8" s="6" t="s">
        <v>75</v>
      </c>
      <c r="N8" s="6" t="s">
        <v>33</v>
      </c>
      <c r="O8" s="8" t="s">
        <v>34</v>
      </c>
      <c r="P8" s="9"/>
      <c r="Q8" s="8"/>
      <c r="R8" s="8"/>
      <c r="S8" s="10" t="s">
        <v>35</v>
      </c>
      <c r="T8" s="10" t="s">
        <v>35</v>
      </c>
      <c r="U8" s="10" t="s">
        <v>35</v>
      </c>
      <c r="V8" s="10" t="s">
        <v>35</v>
      </c>
    </row>
    <row r="9" customFormat="false" ht="23.25" hidden="false" customHeight="true" outlineLevel="0" collapsed="false">
      <c r="A9" s="4" t="s">
        <v>23</v>
      </c>
      <c r="B9" s="5" t="s">
        <v>76</v>
      </c>
      <c r="C9" s="6" t="s">
        <v>77</v>
      </c>
      <c r="D9" s="6" t="s">
        <v>78</v>
      </c>
      <c r="E9" s="6" t="s">
        <v>79</v>
      </c>
      <c r="F9" s="6" t="s">
        <v>59</v>
      </c>
      <c r="G9" s="6" t="s">
        <v>80</v>
      </c>
      <c r="H9" s="7" t="s">
        <v>53</v>
      </c>
      <c r="I9" s="7" t="s">
        <v>31</v>
      </c>
      <c r="J9" s="8"/>
      <c r="K9" s="8"/>
      <c r="L9" s="8"/>
      <c r="M9" s="6" t="s">
        <v>81</v>
      </c>
      <c r="N9" s="6" t="s">
        <v>33</v>
      </c>
      <c r="O9" s="8" t="s">
        <v>34</v>
      </c>
      <c r="P9" s="9"/>
      <c r="Q9" s="8"/>
      <c r="R9" s="8"/>
      <c r="S9" s="10" t="s">
        <v>35</v>
      </c>
      <c r="T9" s="10" t="s">
        <v>35</v>
      </c>
      <c r="U9" s="10" t="s">
        <v>35</v>
      </c>
      <c r="V9" s="10" t="s">
        <v>35</v>
      </c>
    </row>
    <row r="10" customFormat="false" ht="23.25" hidden="false" customHeight="true" outlineLevel="0" collapsed="false">
      <c r="A10" s="4" t="s">
        <v>23</v>
      </c>
      <c r="B10" s="5" t="s">
        <v>82</v>
      </c>
      <c r="C10" s="6" t="s">
        <v>83</v>
      </c>
      <c r="D10" s="6" t="s">
        <v>84</v>
      </c>
      <c r="E10" s="6" t="s">
        <v>85</v>
      </c>
      <c r="F10" s="6" t="s">
        <v>86</v>
      </c>
      <c r="G10" s="6" t="s">
        <v>87</v>
      </c>
      <c r="H10" s="7" t="s">
        <v>88</v>
      </c>
      <c r="I10" s="7" t="s">
        <v>31</v>
      </c>
      <c r="J10" s="8"/>
      <c r="K10" s="8"/>
      <c r="L10" s="8"/>
      <c r="M10" s="6" t="s">
        <v>89</v>
      </c>
      <c r="N10" s="6" t="s">
        <v>33</v>
      </c>
      <c r="O10" s="8" t="s">
        <v>34</v>
      </c>
      <c r="P10" s="9"/>
      <c r="Q10" s="8"/>
      <c r="R10" s="8"/>
      <c r="S10" s="10" t="s">
        <v>35</v>
      </c>
      <c r="T10" s="10" t="s">
        <v>35</v>
      </c>
      <c r="U10" s="10" t="s">
        <v>35</v>
      </c>
      <c r="V10" s="10" t="s">
        <v>35</v>
      </c>
    </row>
    <row r="11" customFormat="false" ht="23.25" hidden="false" customHeight="true" outlineLevel="0" collapsed="false">
      <c r="A11" s="4" t="s">
        <v>23</v>
      </c>
      <c r="B11" s="5" t="s">
        <v>90</v>
      </c>
      <c r="C11" s="6" t="s">
        <v>91</v>
      </c>
      <c r="D11" s="6" t="s">
        <v>92</v>
      </c>
      <c r="E11" s="6" t="s">
        <v>85</v>
      </c>
      <c r="F11" s="6" t="s">
        <v>86</v>
      </c>
      <c r="G11" s="6" t="s">
        <v>93</v>
      </c>
      <c r="H11" s="7" t="s">
        <v>94</v>
      </c>
      <c r="I11" s="7" t="s">
        <v>31</v>
      </c>
      <c r="J11" s="8"/>
      <c r="K11" s="8"/>
      <c r="L11" s="8"/>
      <c r="M11" s="6" t="s">
        <v>95</v>
      </c>
      <c r="N11" s="6" t="s">
        <v>33</v>
      </c>
      <c r="O11" s="8" t="s">
        <v>34</v>
      </c>
      <c r="P11" s="9"/>
      <c r="Q11" s="8"/>
      <c r="R11" s="8"/>
      <c r="S11" s="10" t="s">
        <v>35</v>
      </c>
      <c r="T11" s="10" t="s">
        <v>35</v>
      </c>
      <c r="U11" s="10" t="s">
        <v>35</v>
      </c>
      <c r="V11" s="10" t="s">
        <v>35</v>
      </c>
    </row>
    <row r="12" customFormat="false" ht="23.25" hidden="false" customHeight="true" outlineLevel="0" collapsed="false">
      <c r="A12" s="4" t="s">
        <v>23</v>
      </c>
      <c r="B12" s="5" t="s">
        <v>96</v>
      </c>
      <c r="C12" s="6" t="s">
        <v>64</v>
      </c>
      <c r="D12" s="6" t="s">
        <v>97</v>
      </c>
      <c r="E12" s="6" t="s">
        <v>98</v>
      </c>
      <c r="F12" s="6" t="s">
        <v>86</v>
      </c>
      <c r="G12" s="6" t="s">
        <v>99</v>
      </c>
      <c r="H12" s="7" t="s">
        <v>100</v>
      </c>
      <c r="I12" s="7" t="s">
        <v>31</v>
      </c>
      <c r="J12" s="8"/>
      <c r="K12" s="8"/>
      <c r="L12" s="8"/>
      <c r="M12" s="6" t="s">
        <v>101</v>
      </c>
      <c r="N12" s="6" t="s">
        <v>33</v>
      </c>
      <c r="O12" s="8" t="s">
        <v>34</v>
      </c>
      <c r="P12" s="9"/>
      <c r="Q12" s="8"/>
      <c r="R12" s="8"/>
      <c r="S12" s="10" t="s">
        <v>35</v>
      </c>
      <c r="T12" s="10" t="s">
        <v>35</v>
      </c>
      <c r="U12" s="10" t="s">
        <v>35</v>
      </c>
      <c r="V12" s="10" t="s">
        <v>35</v>
      </c>
    </row>
    <row r="13" customFormat="false" ht="23.25" hidden="false" customHeight="true" outlineLevel="0" collapsed="false">
      <c r="A13" s="4" t="s">
        <v>102</v>
      </c>
      <c r="B13" s="5" t="s">
        <v>103</v>
      </c>
      <c r="C13" s="6" t="s">
        <v>104</v>
      </c>
      <c r="D13" s="6" t="s">
        <v>105</v>
      </c>
      <c r="E13" s="6" t="s">
        <v>106</v>
      </c>
      <c r="F13" s="6" t="s">
        <v>28</v>
      </c>
      <c r="G13" s="6"/>
      <c r="H13" s="7" t="s">
        <v>107</v>
      </c>
      <c r="I13" s="7" t="s">
        <v>31</v>
      </c>
      <c r="J13" s="8"/>
      <c r="K13" s="8"/>
      <c r="L13" s="8"/>
      <c r="M13" s="6" t="s">
        <v>108</v>
      </c>
      <c r="N13" s="6" t="s">
        <v>109</v>
      </c>
      <c r="O13" s="8" t="s">
        <v>34</v>
      </c>
      <c r="P13" s="9"/>
      <c r="Q13" s="8"/>
      <c r="R13" s="8"/>
      <c r="S13" s="10" t="s">
        <v>35</v>
      </c>
      <c r="T13" s="10" t="s">
        <v>35</v>
      </c>
      <c r="U13" s="10" t="s">
        <v>35</v>
      </c>
      <c r="V13" s="10" t="s">
        <v>35</v>
      </c>
    </row>
    <row r="14" customFormat="false" ht="23.25" hidden="false" customHeight="true" outlineLevel="0" collapsed="false">
      <c r="A14" s="4" t="s">
        <v>102</v>
      </c>
      <c r="B14" s="5" t="s">
        <v>110</v>
      </c>
      <c r="C14" s="6" t="s">
        <v>83</v>
      </c>
      <c r="D14" s="6" t="s">
        <v>111</v>
      </c>
      <c r="E14" s="6" t="s">
        <v>112</v>
      </c>
      <c r="F14" s="6" t="s">
        <v>28</v>
      </c>
      <c r="G14" s="6" t="s">
        <v>113</v>
      </c>
      <c r="H14" s="7" t="s">
        <v>114</v>
      </c>
      <c r="I14" s="7" t="s">
        <v>31</v>
      </c>
      <c r="J14" s="8"/>
      <c r="K14" s="8"/>
      <c r="L14" s="8"/>
      <c r="M14" s="6" t="s">
        <v>115</v>
      </c>
      <c r="N14" s="6" t="s">
        <v>109</v>
      </c>
      <c r="O14" s="8" t="s">
        <v>34</v>
      </c>
      <c r="P14" s="9"/>
      <c r="Q14" s="8"/>
      <c r="R14" s="8"/>
      <c r="S14" s="10" t="s">
        <v>35</v>
      </c>
      <c r="T14" s="10" t="s">
        <v>35</v>
      </c>
      <c r="U14" s="10" t="s">
        <v>35</v>
      </c>
      <c r="V14" s="10" t="s">
        <v>35</v>
      </c>
    </row>
    <row r="15" customFormat="false" ht="23.25" hidden="false" customHeight="true" outlineLevel="0" collapsed="false">
      <c r="A15" s="4" t="s">
        <v>102</v>
      </c>
      <c r="B15" s="5" t="s">
        <v>116</v>
      </c>
      <c r="C15" s="6" t="s">
        <v>117</v>
      </c>
      <c r="D15" s="6" t="s">
        <v>118</v>
      </c>
      <c r="E15" s="6" t="s">
        <v>119</v>
      </c>
      <c r="F15" s="6" t="s">
        <v>28</v>
      </c>
      <c r="G15" s="6" t="s">
        <v>120</v>
      </c>
      <c r="H15" s="7" t="s">
        <v>121</v>
      </c>
      <c r="I15" s="7" t="s">
        <v>31</v>
      </c>
      <c r="J15" s="8"/>
      <c r="K15" s="8"/>
      <c r="L15" s="8"/>
      <c r="M15" s="6" t="s">
        <v>122</v>
      </c>
      <c r="N15" s="6" t="s">
        <v>109</v>
      </c>
      <c r="O15" s="8" t="s">
        <v>34</v>
      </c>
      <c r="P15" s="9"/>
      <c r="Q15" s="8"/>
      <c r="R15" s="8"/>
      <c r="S15" s="10" t="s">
        <v>35</v>
      </c>
      <c r="T15" s="10" t="s">
        <v>35</v>
      </c>
      <c r="U15" s="10" t="s">
        <v>35</v>
      </c>
      <c r="V15" s="10" t="s">
        <v>35</v>
      </c>
    </row>
    <row r="16" customFormat="false" ht="23.25" hidden="false" customHeight="true" outlineLevel="0" collapsed="false">
      <c r="A16" s="4" t="s">
        <v>102</v>
      </c>
      <c r="B16" s="5" t="s">
        <v>123</v>
      </c>
      <c r="C16" s="6" t="s">
        <v>124</v>
      </c>
      <c r="D16" s="6" t="s">
        <v>125</v>
      </c>
      <c r="E16" s="6" t="s">
        <v>45</v>
      </c>
      <c r="F16" s="6" t="s">
        <v>28</v>
      </c>
      <c r="G16" s="6"/>
      <c r="H16" s="7" t="s">
        <v>126</v>
      </c>
      <c r="I16" s="7" t="s">
        <v>31</v>
      </c>
      <c r="J16" s="8"/>
      <c r="K16" s="8"/>
      <c r="L16" s="8"/>
      <c r="M16" s="6" t="s">
        <v>127</v>
      </c>
      <c r="N16" s="6" t="s">
        <v>109</v>
      </c>
      <c r="O16" s="8" t="s">
        <v>34</v>
      </c>
      <c r="P16" s="9"/>
      <c r="Q16" s="8"/>
      <c r="R16" s="8"/>
      <c r="S16" s="10" t="s">
        <v>35</v>
      </c>
      <c r="T16" s="10" t="s">
        <v>35</v>
      </c>
      <c r="U16" s="10" t="s">
        <v>35</v>
      </c>
      <c r="V16" s="10" t="s">
        <v>35</v>
      </c>
    </row>
    <row r="17" customFormat="false" ht="23.25" hidden="false" customHeight="true" outlineLevel="0" collapsed="false">
      <c r="A17" s="4" t="s">
        <v>102</v>
      </c>
      <c r="B17" s="5" t="s">
        <v>128</v>
      </c>
      <c r="C17" s="6" t="s">
        <v>129</v>
      </c>
      <c r="D17" s="6" t="s">
        <v>130</v>
      </c>
      <c r="E17" s="6" t="s">
        <v>131</v>
      </c>
      <c r="F17" s="6" t="s">
        <v>59</v>
      </c>
      <c r="G17" s="6" t="s">
        <v>132</v>
      </c>
      <c r="H17" s="7" t="s">
        <v>133</v>
      </c>
      <c r="I17" s="7" t="s">
        <v>31</v>
      </c>
      <c r="J17" s="8"/>
      <c r="K17" s="8"/>
      <c r="L17" s="8"/>
      <c r="M17" s="6" t="s">
        <v>134</v>
      </c>
      <c r="N17" s="6" t="s">
        <v>109</v>
      </c>
      <c r="O17" s="8" t="s">
        <v>34</v>
      </c>
      <c r="P17" s="9"/>
      <c r="Q17" s="8"/>
      <c r="R17" s="8"/>
      <c r="S17" s="10" t="s">
        <v>35</v>
      </c>
      <c r="T17" s="10" t="s">
        <v>35</v>
      </c>
      <c r="U17" s="10" t="s">
        <v>35</v>
      </c>
      <c r="V17" s="10" t="s">
        <v>35</v>
      </c>
    </row>
    <row r="18" customFormat="false" ht="23.25" hidden="false" customHeight="true" outlineLevel="0" collapsed="false">
      <c r="A18" s="4" t="s">
        <v>102</v>
      </c>
      <c r="B18" s="5" t="s">
        <v>135</v>
      </c>
      <c r="C18" s="6" t="s">
        <v>136</v>
      </c>
      <c r="D18" s="6" t="s">
        <v>137</v>
      </c>
      <c r="E18" s="6" t="s">
        <v>138</v>
      </c>
      <c r="F18" s="6" t="s">
        <v>59</v>
      </c>
      <c r="G18" s="6"/>
      <c r="H18" s="6"/>
      <c r="I18" s="7" t="s">
        <v>31</v>
      </c>
      <c r="J18" s="8"/>
      <c r="K18" s="8"/>
      <c r="L18" s="8"/>
      <c r="M18" s="6" t="s">
        <v>139</v>
      </c>
      <c r="N18" s="6" t="s">
        <v>109</v>
      </c>
      <c r="O18" s="8" t="s">
        <v>34</v>
      </c>
      <c r="P18" s="9"/>
      <c r="Q18" s="8"/>
      <c r="R18" s="8"/>
      <c r="S18" s="10" t="s">
        <v>35</v>
      </c>
      <c r="T18" s="10" t="s">
        <v>35</v>
      </c>
      <c r="U18" s="10" t="s">
        <v>35</v>
      </c>
      <c r="V18" s="10" t="s">
        <v>35</v>
      </c>
    </row>
    <row r="19" customFormat="false" ht="23.25" hidden="false" customHeight="true" outlineLevel="0" collapsed="false">
      <c r="A19" s="4" t="s">
        <v>102</v>
      </c>
      <c r="B19" s="5" t="s">
        <v>140</v>
      </c>
      <c r="C19" s="6" t="s">
        <v>43</v>
      </c>
      <c r="D19" s="6" t="s">
        <v>141</v>
      </c>
      <c r="E19" s="6" t="s">
        <v>142</v>
      </c>
      <c r="F19" s="6" t="s">
        <v>59</v>
      </c>
      <c r="G19" s="6" t="s">
        <v>143</v>
      </c>
      <c r="H19" s="7" t="s">
        <v>144</v>
      </c>
      <c r="I19" s="7" t="s">
        <v>31</v>
      </c>
      <c r="J19" s="8"/>
      <c r="K19" s="8"/>
      <c r="L19" s="8"/>
      <c r="M19" s="6" t="s">
        <v>145</v>
      </c>
      <c r="N19" s="6" t="s">
        <v>109</v>
      </c>
      <c r="O19" s="8" t="s">
        <v>34</v>
      </c>
      <c r="P19" s="9"/>
      <c r="Q19" s="8"/>
      <c r="R19" s="8"/>
      <c r="S19" s="10" t="s">
        <v>35</v>
      </c>
      <c r="T19" s="10" t="s">
        <v>35</v>
      </c>
      <c r="U19" s="10" t="s">
        <v>35</v>
      </c>
      <c r="V19" s="10" t="s">
        <v>35</v>
      </c>
    </row>
    <row r="20" customFormat="false" ht="23.25" hidden="false" customHeight="true" outlineLevel="0" collapsed="false">
      <c r="A20" s="4" t="s">
        <v>102</v>
      </c>
      <c r="B20" s="5" t="s">
        <v>146</v>
      </c>
      <c r="C20" s="6" t="s">
        <v>147</v>
      </c>
      <c r="D20" s="6" t="s">
        <v>148</v>
      </c>
      <c r="E20" s="6" t="s">
        <v>149</v>
      </c>
      <c r="F20" s="6" t="s">
        <v>59</v>
      </c>
      <c r="G20" s="6" t="s">
        <v>150</v>
      </c>
      <c r="H20" s="7" t="s">
        <v>151</v>
      </c>
      <c r="I20" s="7" t="s">
        <v>31</v>
      </c>
      <c r="J20" s="8"/>
      <c r="K20" s="8"/>
      <c r="L20" s="8"/>
      <c r="M20" s="6" t="s">
        <v>152</v>
      </c>
      <c r="N20" s="6" t="s">
        <v>109</v>
      </c>
      <c r="O20" s="8" t="s">
        <v>34</v>
      </c>
      <c r="P20" s="9"/>
      <c r="Q20" s="8"/>
      <c r="R20" s="8"/>
      <c r="S20" s="10" t="s">
        <v>35</v>
      </c>
      <c r="T20" s="10" t="s">
        <v>35</v>
      </c>
      <c r="U20" s="10" t="s">
        <v>35</v>
      </c>
      <c r="V20" s="10" t="s">
        <v>35</v>
      </c>
    </row>
    <row r="21" customFormat="false" ht="23.25" hidden="false" customHeight="true" outlineLevel="0" collapsed="false">
      <c r="A21" s="4" t="s">
        <v>102</v>
      </c>
      <c r="B21" s="5" t="s">
        <v>153</v>
      </c>
      <c r="C21" s="6" t="s">
        <v>154</v>
      </c>
      <c r="D21" s="6" t="s">
        <v>155</v>
      </c>
      <c r="E21" s="6" t="s">
        <v>156</v>
      </c>
      <c r="F21" s="6" t="s">
        <v>59</v>
      </c>
      <c r="G21" s="6" t="s">
        <v>157</v>
      </c>
      <c r="H21" s="7" t="s">
        <v>158</v>
      </c>
      <c r="I21" s="7" t="s">
        <v>31</v>
      </c>
      <c r="J21" s="8"/>
      <c r="K21" s="8"/>
      <c r="L21" s="8"/>
      <c r="M21" s="6" t="s">
        <v>159</v>
      </c>
      <c r="N21" s="6" t="s">
        <v>109</v>
      </c>
      <c r="O21" s="8" t="s">
        <v>34</v>
      </c>
      <c r="P21" s="9"/>
      <c r="Q21" s="8"/>
      <c r="R21" s="8"/>
      <c r="S21" s="10" t="s">
        <v>35</v>
      </c>
      <c r="T21" s="10" t="s">
        <v>35</v>
      </c>
      <c r="U21" s="10" t="s">
        <v>35</v>
      </c>
      <c r="V21" s="10" t="s">
        <v>35</v>
      </c>
    </row>
    <row r="22" customFormat="false" ht="23.25" hidden="false" customHeight="true" outlineLevel="0" collapsed="false">
      <c r="A22" s="4" t="s">
        <v>102</v>
      </c>
      <c r="B22" s="5" t="s">
        <v>160</v>
      </c>
      <c r="C22" s="6" t="s">
        <v>161</v>
      </c>
      <c r="D22" s="6" t="s">
        <v>162</v>
      </c>
      <c r="E22" s="6" t="s">
        <v>163</v>
      </c>
      <c r="F22" s="6" t="s">
        <v>59</v>
      </c>
      <c r="G22" s="6"/>
      <c r="H22" s="7" t="s">
        <v>164</v>
      </c>
      <c r="I22" s="7" t="s">
        <v>31</v>
      </c>
      <c r="J22" s="8"/>
      <c r="K22" s="8"/>
      <c r="L22" s="8"/>
      <c r="M22" s="6" t="s">
        <v>165</v>
      </c>
      <c r="N22" s="6" t="s">
        <v>109</v>
      </c>
      <c r="O22" s="8" t="s">
        <v>34</v>
      </c>
      <c r="P22" s="9"/>
      <c r="Q22" s="8"/>
      <c r="R22" s="8"/>
      <c r="S22" s="10" t="s">
        <v>35</v>
      </c>
      <c r="T22" s="10" t="s">
        <v>35</v>
      </c>
      <c r="U22" s="10" t="s">
        <v>35</v>
      </c>
      <c r="V22" s="10" t="s">
        <v>35</v>
      </c>
    </row>
    <row r="23" customFormat="false" ht="23.25" hidden="false" customHeight="true" outlineLevel="0" collapsed="false">
      <c r="A23" s="4" t="s">
        <v>102</v>
      </c>
      <c r="B23" s="5" t="s">
        <v>166</v>
      </c>
      <c r="C23" s="6" t="s">
        <v>167</v>
      </c>
      <c r="D23" s="6" t="s">
        <v>168</v>
      </c>
      <c r="E23" s="6" t="s">
        <v>169</v>
      </c>
      <c r="F23" s="6" t="s">
        <v>86</v>
      </c>
      <c r="G23" s="6"/>
      <c r="H23" s="6"/>
      <c r="I23" s="7" t="s">
        <v>31</v>
      </c>
      <c r="J23" s="8"/>
      <c r="K23" s="8"/>
      <c r="L23" s="8"/>
      <c r="M23" s="6" t="s">
        <v>170</v>
      </c>
      <c r="N23" s="6" t="s">
        <v>109</v>
      </c>
      <c r="O23" s="8" t="s">
        <v>34</v>
      </c>
      <c r="P23" s="9"/>
      <c r="Q23" s="8"/>
      <c r="R23" s="8"/>
      <c r="S23" s="10" t="s">
        <v>35</v>
      </c>
      <c r="T23" s="10" t="s">
        <v>35</v>
      </c>
      <c r="U23" s="10" t="s">
        <v>35</v>
      </c>
      <c r="V23" s="10" t="s">
        <v>35</v>
      </c>
    </row>
    <row r="24" customFormat="false" ht="23.25" hidden="false" customHeight="true" outlineLevel="0" collapsed="false">
      <c r="A24" s="4" t="s">
        <v>102</v>
      </c>
      <c r="B24" s="5" t="s">
        <v>171</v>
      </c>
      <c r="C24" s="6" t="s">
        <v>172</v>
      </c>
      <c r="D24" s="6" t="s">
        <v>173</v>
      </c>
      <c r="E24" s="6" t="s">
        <v>174</v>
      </c>
      <c r="F24" s="6" t="s">
        <v>86</v>
      </c>
      <c r="G24" s="6" t="s">
        <v>175</v>
      </c>
      <c r="H24" s="7" t="s">
        <v>176</v>
      </c>
      <c r="I24" s="7" t="s">
        <v>31</v>
      </c>
      <c r="J24" s="8"/>
      <c r="K24" s="8"/>
      <c r="L24" s="8"/>
      <c r="M24" s="6" t="s">
        <v>177</v>
      </c>
      <c r="N24" s="6" t="s">
        <v>109</v>
      </c>
      <c r="O24" s="8" t="s">
        <v>34</v>
      </c>
      <c r="P24" s="9"/>
      <c r="Q24" s="8"/>
      <c r="R24" s="8"/>
      <c r="S24" s="10" t="s">
        <v>35</v>
      </c>
      <c r="T24" s="10" t="s">
        <v>35</v>
      </c>
      <c r="U24" s="10" t="s">
        <v>35</v>
      </c>
      <c r="V24" s="10" t="s">
        <v>35</v>
      </c>
    </row>
    <row r="25" customFormat="false" ht="23.25" hidden="false" customHeight="true" outlineLevel="0" collapsed="false">
      <c r="A25" s="4" t="s">
        <v>102</v>
      </c>
      <c r="B25" s="5" t="s">
        <v>178</v>
      </c>
      <c r="C25" s="6" t="s">
        <v>167</v>
      </c>
      <c r="D25" s="6" t="s">
        <v>179</v>
      </c>
      <c r="E25" s="6" t="s">
        <v>169</v>
      </c>
      <c r="F25" s="6" t="s">
        <v>86</v>
      </c>
      <c r="G25" s="6"/>
      <c r="H25" s="6"/>
      <c r="I25" s="7" t="s">
        <v>31</v>
      </c>
      <c r="J25" s="8"/>
      <c r="K25" s="8"/>
      <c r="L25" s="8"/>
      <c r="M25" s="6" t="s">
        <v>180</v>
      </c>
      <c r="N25" s="6" t="s">
        <v>109</v>
      </c>
      <c r="O25" s="8" t="s">
        <v>34</v>
      </c>
      <c r="P25" s="9"/>
      <c r="Q25" s="8"/>
      <c r="R25" s="8"/>
      <c r="S25" s="10" t="s">
        <v>35</v>
      </c>
      <c r="T25" s="10" t="s">
        <v>35</v>
      </c>
      <c r="U25" s="10" t="s">
        <v>35</v>
      </c>
      <c r="V25" s="10" t="s">
        <v>35</v>
      </c>
    </row>
    <row r="26" customFormat="false" ht="23.25" hidden="false" customHeight="true" outlineLevel="0" collapsed="false">
      <c r="A26" s="4" t="s">
        <v>102</v>
      </c>
      <c r="B26" s="5" t="s">
        <v>181</v>
      </c>
      <c r="C26" s="6" t="s">
        <v>182</v>
      </c>
      <c r="D26" s="6" t="s">
        <v>183</v>
      </c>
      <c r="E26" s="6" t="s">
        <v>184</v>
      </c>
      <c r="F26" s="6" t="s">
        <v>86</v>
      </c>
      <c r="G26" s="6" t="s">
        <v>185</v>
      </c>
      <c r="H26" s="7" t="s">
        <v>186</v>
      </c>
      <c r="I26" s="7" t="s">
        <v>31</v>
      </c>
      <c r="J26" s="8"/>
      <c r="K26" s="8"/>
      <c r="L26" s="8"/>
      <c r="M26" s="6" t="s">
        <v>187</v>
      </c>
      <c r="N26" s="6" t="s">
        <v>109</v>
      </c>
      <c r="O26" s="8" t="s">
        <v>34</v>
      </c>
      <c r="P26" s="9"/>
      <c r="Q26" s="8"/>
      <c r="R26" s="8"/>
      <c r="S26" s="10" t="s">
        <v>35</v>
      </c>
      <c r="T26" s="10" t="s">
        <v>35</v>
      </c>
      <c r="U26" s="10" t="s">
        <v>35</v>
      </c>
      <c r="V26" s="10" t="s">
        <v>35</v>
      </c>
    </row>
    <row r="27" customFormat="false" ht="15" hidden="false" customHeight="true" outlineLevel="0" collapsed="false">
      <c r="A27" s="4" t="s">
        <v>188</v>
      </c>
      <c r="B27" s="5" t="s">
        <v>189</v>
      </c>
      <c r="C27" s="6" t="s">
        <v>190</v>
      </c>
      <c r="D27" s="6" t="s">
        <v>191</v>
      </c>
      <c r="E27" s="6" t="s">
        <v>192</v>
      </c>
      <c r="F27" s="6" t="s">
        <v>59</v>
      </c>
      <c r="G27" s="6" t="s">
        <v>193</v>
      </c>
      <c r="H27" s="7" t="s">
        <v>194</v>
      </c>
      <c r="I27" s="7" t="s">
        <v>31</v>
      </c>
      <c r="J27" s="8"/>
      <c r="K27" s="8"/>
      <c r="L27" s="8"/>
      <c r="M27" s="6" t="s">
        <v>195</v>
      </c>
      <c r="N27" s="6" t="s">
        <v>196</v>
      </c>
      <c r="O27" s="8" t="s">
        <v>34</v>
      </c>
      <c r="P27" s="9"/>
      <c r="Q27" s="8"/>
      <c r="R27" s="8"/>
      <c r="S27" s="10" t="s">
        <v>35</v>
      </c>
      <c r="T27" s="10" t="s">
        <v>35</v>
      </c>
      <c r="U27" s="10" t="s">
        <v>35</v>
      </c>
      <c r="V27" s="10" t="s">
        <v>35</v>
      </c>
    </row>
    <row r="28" customFormat="false" ht="15" hidden="false" customHeight="true" outlineLevel="0" collapsed="false">
      <c r="A28" s="4" t="s">
        <v>188</v>
      </c>
      <c r="B28" s="5" t="s">
        <v>197</v>
      </c>
      <c r="C28" s="6" t="s">
        <v>198</v>
      </c>
      <c r="D28" s="6" t="s">
        <v>199</v>
      </c>
      <c r="E28" s="6" t="s">
        <v>200</v>
      </c>
      <c r="F28" s="6" t="s">
        <v>86</v>
      </c>
      <c r="G28" s="6" t="s">
        <v>201</v>
      </c>
      <c r="H28" s="7" t="s">
        <v>202</v>
      </c>
      <c r="I28" s="7" t="s">
        <v>31</v>
      </c>
      <c r="J28" s="8"/>
      <c r="K28" s="8"/>
      <c r="L28" s="8"/>
      <c r="M28" s="6" t="s">
        <v>203</v>
      </c>
      <c r="N28" s="6" t="s">
        <v>196</v>
      </c>
      <c r="O28" s="8" t="s">
        <v>34</v>
      </c>
      <c r="P28" s="9"/>
      <c r="Q28" s="8"/>
      <c r="R28" s="8"/>
      <c r="S28" s="10" t="s">
        <v>35</v>
      </c>
      <c r="T28" s="10" t="s">
        <v>35</v>
      </c>
      <c r="U28" s="10" t="s">
        <v>35</v>
      </c>
      <c r="V28" s="10" t="s">
        <v>35</v>
      </c>
    </row>
    <row r="29" customFormat="false" ht="15" hidden="false" customHeight="true" outlineLevel="0" collapsed="false">
      <c r="A29" s="4" t="s">
        <v>188</v>
      </c>
      <c r="B29" s="5" t="s">
        <v>204</v>
      </c>
      <c r="C29" s="6" t="s">
        <v>205</v>
      </c>
      <c r="D29" s="6" t="s">
        <v>206</v>
      </c>
      <c r="E29" s="6" t="s">
        <v>207</v>
      </c>
      <c r="F29" s="6" t="s">
        <v>86</v>
      </c>
      <c r="G29" s="6" t="s">
        <v>208</v>
      </c>
      <c r="H29" s="7" t="s">
        <v>209</v>
      </c>
      <c r="I29" s="7" t="s">
        <v>31</v>
      </c>
      <c r="J29" s="8"/>
      <c r="K29" s="8"/>
      <c r="L29" s="8"/>
      <c r="M29" s="6" t="s">
        <v>210</v>
      </c>
      <c r="N29" s="6" t="s">
        <v>196</v>
      </c>
      <c r="O29" s="8" t="s">
        <v>34</v>
      </c>
      <c r="P29" s="9"/>
      <c r="Q29" s="8"/>
      <c r="R29" s="8"/>
      <c r="S29" s="10" t="s">
        <v>35</v>
      </c>
      <c r="T29" s="10" t="s">
        <v>35</v>
      </c>
      <c r="U29" s="10" t="s">
        <v>35</v>
      </c>
      <c r="V29" s="10" t="s">
        <v>35</v>
      </c>
    </row>
    <row r="30" customFormat="false" ht="15" hidden="false" customHeight="true" outlineLevel="0" collapsed="false">
      <c r="A30" s="4" t="s">
        <v>188</v>
      </c>
      <c r="B30" s="5" t="s">
        <v>211</v>
      </c>
      <c r="C30" s="6" t="s">
        <v>212</v>
      </c>
      <c r="D30" s="6" t="s">
        <v>213</v>
      </c>
      <c r="E30" s="6" t="s">
        <v>214</v>
      </c>
      <c r="F30" s="6" t="s">
        <v>215</v>
      </c>
      <c r="G30" s="6" t="s">
        <v>216</v>
      </c>
      <c r="H30" s="7" t="s">
        <v>217</v>
      </c>
      <c r="I30" s="7" t="s">
        <v>31</v>
      </c>
      <c r="J30" s="8"/>
      <c r="K30" s="8"/>
      <c r="L30" s="8"/>
      <c r="M30" s="6" t="s">
        <v>218</v>
      </c>
      <c r="N30" s="6" t="s">
        <v>196</v>
      </c>
      <c r="O30" s="8" t="s">
        <v>34</v>
      </c>
      <c r="P30" s="9"/>
      <c r="Q30" s="8"/>
      <c r="R30" s="8"/>
      <c r="S30" s="10" t="s">
        <v>35</v>
      </c>
      <c r="T30" s="10" t="s">
        <v>35</v>
      </c>
      <c r="U30" s="10" t="s">
        <v>35</v>
      </c>
      <c r="V30" s="10" t="s">
        <v>35</v>
      </c>
    </row>
    <row r="31" customFormat="false" ht="15" hidden="false" customHeight="true" outlineLevel="0" collapsed="false">
      <c r="A31" s="4" t="s">
        <v>23</v>
      </c>
      <c r="B31" s="5" t="s">
        <v>219</v>
      </c>
      <c r="C31" s="6" t="s">
        <v>43</v>
      </c>
      <c r="D31" s="6" t="s">
        <v>220</v>
      </c>
      <c r="E31" s="6" t="s">
        <v>221</v>
      </c>
      <c r="F31" s="6" t="s">
        <v>222</v>
      </c>
      <c r="G31" s="6" t="s">
        <v>223</v>
      </c>
      <c r="H31" s="7" t="s">
        <v>224</v>
      </c>
      <c r="I31" s="7" t="s">
        <v>31</v>
      </c>
      <c r="J31" s="8"/>
      <c r="K31" s="8"/>
      <c r="L31" s="8"/>
      <c r="M31" s="6" t="s">
        <v>225</v>
      </c>
      <c r="N31" s="6" t="s">
        <v>33</v>
      </c>
      <c r="O31" s="8" t="s">
        <v>34</v>
      </c>
      <c r="P31" s="9"/>
      <c r="Q31" s="8"/>
      <c r="R31" s="8"/>
      <c r="S31" s="11" t="s">
        <v>35</v>
      </c>
      <c r="T31" s="11" t="s">
        <v>35</v>
      </c>
      <c r="U31" s="11" t="s">
        <v>35</v>
      </c>
      <c r="V31" s="11" t="s">
        <v>35</v>
      </c>
      <c r="W31" s="12" t="s">
        <v>226</v>
      </c>
    </row>
    <row r="32" customFormat="false" ht="15" hidden="false" customHeight="true" outlineLevel="0" collapsed="false">
      <c r="A32" s="4" t="s">
        <v>23</v>
      </c>
      <c r="B32" s="5" t="s">
        <v>227</v>
      </c>
      <c r="C32" s="6" t="s">
        <v>228</v>
      </c>
      <c r="D32" s="6" t="s">
        <v>229</v>
      </c>
      <c r="E32" s="6" t="s">
        <v>230</v>
      </c>
      <c r="F32" s="6" t="s">
        <v>222</v>
      </c>
      <c r="G32" s="6" t="s">
        <v>231</v>
      </c>
      <c r="H32" s="7" t="s">
        <v>232</v>
      </c>
      <c r="I32" s="7" t="s">
        <v>31</v>
      </c>
      <c r="J32" s="8"/>
      <c r="K32" s="8"/>
      <c r="L32" s="8"/>
      <c r="M32" s="6" t="s">
        <v>233</v>
      </c>
      <c r="N32" s="6" t="s">
        <v>33</v>
      </c>
      <c r="O32" s="8" t="s">
        <v>34</v>
      </c>
      <c r="P32" s="9"/>
      <c r="Q32" s="8"/>
      <c r="R32" s="8"/>
      <c r="S32" s="11" t="s">
        <v>35</v>
      </c>
      <c r="T32" s="11" t="s">
        <v>35</v>
      </c>
      <c r="U32" s="11" t="s">
        <v>35</v>
      </c>
      <c r="V32" s="11" t="s">
        <v>35</v>
      </c>
      <c r="W32" s="12" t="s">
        <v>226</v>
      </c>
    </row>
    <row r="33" customFormat="false" ht="15" hidden="false" customHeight="true" outlineLevel="0" collapsed="false">
      <c r="A33" s="4" t="s">
        <v>23</v>
      </c>
      <c r="B33" s="5" t="s">
        <v>234</v>
      </c>
      <c r="C33" s="6" t="s">
        <v>235</v>
      </c>
      <c r="D33" s="6" t="s">
        <v>236</v>
      </c>
      <c r="E33" s="6" t="s">
        <v>237</v>
      </c>
      <c r="F33" s="6" t="s">
        <v>238</v>
      </c>
      <c r="G33" s="6" t="s">
        <v>239</v>
      </c>
      <c r="H33" s="7" t="s">
        <v>240</v>
      </c>
      <c r="I33" s="7" t="s">
        <v>31</v>
      </c>
      <c r="J33" s="8"/>
      <c r="K33" s="8"/>
      <c r="L33" s="8"/>
      <c r="M33" s="6" t="s">
        <v>241</v>
      </c>
      <c r="N33" s="6" t="s">
        <v>33</v>
      </c>
      <c r="O33" s="8" t="s">
        <v>34</v>
      </c>
      <c r="P33" s="9"/>
      <c r="Q33" s="8"/>
      <c r="R33" s="8"/>
      <c r="S33" s="11" t="s">
        <v>35</v>
      </c>
      <c r="T33" s="11" t="s">
        <v>35</v>
      </c>
      <c r="U33" s="11" t="s">
        <v>35</v>
      </c>
      <c r="V33" s="11" t="s">
        <v>35</v>
      </c>
      <c r="W33" s="12" t="s">
        <v>226</v>
      </c>
    </row>
    <row r="34" customFormat="false" ht="15" hidden="false" customHeight="true" outlineLevel="0" collapsed="false">
      <c r="A34" s="4" t="s">
        <v>23</v>
      </c>
      <c r="B34" s="5" t="s">
        <v>242</v>
      </c>
      <c r="C34" s="6" t="s">
        <v>43</v>
      </c>
      <c r="D34" s="6" t="s">
        <v>243</v>
      </c>
      <c r="E34" s="6" t="s">
        <v>244</v>
      </c>
      <c r="F34" s="6" t="s">
        <v>245</v>
      </c>
      <c r="G34" s="6" t="s">
        <v>246</v>
      </c>
      <c r="H34" s="7" t="s">
        <v>247</v>
      </c>
      <c r="I34" s="7" t="s">
        <v>31</v>
      </c>
      <c r="J34" s="8"/>
      <c r="K34" s="8"/>
      <c r="L34" s="8"/>
      <c r="M34" s="6" t="s">
        <v>248</v>
      </c>
      <c r="N34" s="6" t="s">
        <v>33</v>
      </c>
      <c r="O34" s="8" t="s">
        <v>34</v>
      </c>
      <c r="P34" s="9"/>
      <c r="Q34" s="8"/>
      <c r="R34" s="8"/>
      <c r="S34" s="11" t="s">
        <v>35</v>
      </c>
      <c r="T34" s="11" t="s">
        <v>35</v>
      </c>
      <c r="U34" s="11" t="s">
        <v>35</v>
      </c>
      <c r="V34" s="11" t="s">
        <v>35</v>
      </c>
      <c r="W34" s="12" t="s">
        <v>226</v>
      </c>
    </row>
    <row r="35" customFormat="false" ht="15" hidden="false" customHeight="true" outlineLevel="0" collapsed="false">
      <c r="A35" s="4" t="s">
        <v>23</v>
      </c>
      <c r="B35" s="5" t="s">
        <v>249</v>
      </c>
      <c r="C35" s="6" t="s">
        <v>250</v>
      </c>
      <c r="D35" s="6" t="s">
        <v>251</v>
      </c>
      <c r="E35" s="6" t="s">
        <v>252</v>
      </c>
      <c r="F35" s="6" t="s">
        <v>253</v>
      </c>
      <c r="G35" s="6" t="s">
        <v>254</v>
      </c>
      <c r="H35" s="7" t="s">
        <v>255</v>
      </c>
      <c r="I35" s="7" t="s">
        <v>31</v>
      </c>
      <c r="J35" s="8"/>
      <c r="K35" s="8"/>
      <c r="L35" s="8"/>
      <c r="M35" s="6" t="s">
        <v>256</v>
      </c>
      <c r="N35" s="6" t="s">
        <v>33</v>
      </c>
      <c r="O35" s="8" t="s">
        <v>34</v>
      </c>
      <c r="P35" s="9"/>
      <c r="Q35" s="8"/>
      <c r="R35" s="8"/>
      <c r="S35" s="11" t="s">
        <v>35</v>
      </c>
      <c r="T35" s="11" t="s">
        <v>35</v>
      </c>
      <c r="U35" s="11" t="s">
        <v>35</v>
      </c>
      <c r="V35" s="11" t="s">
        <v>35</v>
      </c>
      <c r="W35" s="12" t="s">
        <v>226</v>
      </c>
    </row>
    <row r="36" customFormat="false" ht="15" hidden="false" customHeight="true" outlineLevel="0" collapsed="false">
      <c r="A36" s="4" t="s">
        <v>23</v>
      </c>
      <c r="B36" s="5" t="s">
        <v>257</v>
      </c>
      <c r="C36" s="6" t="s">
        <v>258</v>
      </c>
      <c r="D36" s="6" t="s">
        <v>259</v>
      </c>
      <c r="E36" s="6" t="s">
        <v>260</v>
      </c>
      <c r="F36" s="6" t="s">
        <v>245</v>
      </c>
      <c r="G36" s="6" t="s">
        <v>261</v>
      </c>
      <c r="H36" s="7" t="s">
        <v>262</v>
      </c>
      <c r="I36" s="7" t="s">
        <v>31</v>
      </c>
      <c r="J36" s="8"/>
      <c r="K36" s="8"/>
      <c r="L36" s="8"/>
      <c r="M36" s="6" t="s">
        <v>263</v>
      </c>
      <c r="N36" s="6" t="s">
        <v>33</v>
      </c>
      <c r="O36" s="8" t="s">
        <v>34</v>
      </c>
      <c r="P36" s="9"/>
      <c r="Q36" s="8"/>
      <c r="R36" s="8"/>
      <c r="S36" s="11" t="s">
        <v>35</v>
      </c>
      <c r="T36" s="11" t="s">
        <v>35</v>
      </c>
      <c r="U36" s="11" t="s">
        <v>35</v>
      </c>
      <c r="V36" s="11" t="s">
        <v>35</v>
      </c>
      <c r="W36" s="12" t="s">
        <v>264</v>
      </c>
    </row>
    <row r="37" customFormat="false" ht="15" hidden="false" customHeight="true" outlineLevel="0" collapsed="false">
      <c r="A37" s="4" t="s">
        <v>102</v>
      </c>
      <c r="B37" s="5" t="s">
        <v>265</v>
      </c>
      <c r="C37" s="6" t="s">
        <v>235</v>
      </c>
      <c r="D37" s="6" t="s">
        <v>266</v>
      </c>
      <c r="E37" s="6" t="s">
        <v>267</v>
      </c>
      <c r="F37" s="6" t="s">
        <v>245</v>
      </c>
      <c r="G37" s="6" t="s">
        <v>268</v>
      </c>
      <c r="H37" s="7" t="s">
        <v>269</v>
      </c>
      <c r="I37" s="7" t="s">
        <v>31</v>
      </c>
      <c r="J37" s="8"/>
      <c r="K37" s="8"/>
      <c r="L37" s="8"/>
      <c r="M37" s="6" t="s">
        <v>270</v>
      </c>
      <c r="N37" s="6" t="s">
        <v>109</v>
      </c>
      <c r="O37" s="8" t="s">
        <v>34</v>
      </c>
      <c r="P37" s="9"/>
      <c r="Q37" s="8"/>
      <c r="R37" s="8"/>
      <c r="S37" s="11" t="s">
        <v>35</v>
      </c>
      <c r="T37" s="11" t="s">
        <v>35</v>
      </c>
      <c r="U37" s="11" t="s">
        <v>35</v>
      </c>
      <c r="V37" s="11" t="s">
        <v>35</v>
      </c>
      <c r="W37" s="12" t="s">
        <v>226</v>
      </c>
    </row>
    <row r="38" customFormat="false" ht="15" hidden="false" customHeight="true" outlineLevel="0" collapsed="false">
      <c r="A38" s="4" t="s">
        <v>102</v>
      </c>
      <c r="B38" s="5" t="s">
        <v>271</v>
      </c>
      <c r="C38" s="6" t="s">
        <v>272</v>
      </c>
      <c r="D38" s="6" t="s">
        <v>273</v>
      </c>
      <c r="E38" s="6" t="s">
        <v>237</v>
      </c>
      <c r="F38" s="6" t="s">
        <v>238</v>
      </c>
      <c r="G38" s="6" t="s">
        <v>274</v>
      </c>
      <c r="H38" s="7" t="s">
        <v>275</v>
      </c>
      <c r="I38" s="7" t="s">
        <v>31</v>
      </c>
      <c r="J38" s="8"/>
      <c r="K38" s="8"/>
      <c r="L38" s="8"/>
      <c r="M38" s="6" t="s">
        <v>276</v>
      </c>
      <c r="N38" s="6" t="s">
        <v>109</v>
      </c>
      <c r="O38" s="8" t="s">
        <v>34</v>
      </c>
      <c r="P38" s="9"/>
      <c r="Q38" s="8"/>
      <c r="R38" s="8"/>
      <c r="S38" s="11" t="s">
        <v>35</v>
      </c>
      <c r="T38" s="11" t="s">
        <v>35</v>
      </c>
      <c r="U38" s="11" t="s">
        <v>35</v>
      </c>
      <c r="V38" s="11" t="s">
        <v>35</v>
      </c>
      <c r="W38" s="12" t="s">
        <v>226</v>
      </c>
    </row>
    <row r="39" customFormat="false" ht="15" hidden="false" customHeight="true" outlineLevel="0" collapsed="false">
      <c r="A39" s="4" t="s">
        <v>102</v>
      </c>
      <c r="B39" s="5" t="s">
        <v>277</v>
      </c>
      <c r="C39" s="6" t="s">
        <v>43</v>
      </c>
      <c r="D39" s="6" t="s">
        <v>278</v>
      </c>
      <c r="E39" s="6" t="s">
        <v>279</v>
      </c>
      <c r="F39" s="6" t="s">
        <v>280</v>
      </c>
      <c r="G39" s="6" t="s">
        <v>281</v>
      </c>
      <c r="H39" s="7" t="s">
        <v>282</v>
      </c>
      <c r="I39" s="7" t="s">
        <v>31</v>
      </c>
      <c r="J39" s="8"/>
      <c r="K39" s="8"/>
      <c r="L39" s="8"/>
      <c r="M39" s="6" t="s">
        <v>283</v>
      </c>
      <c r="N39" s="6" t="s">
        <v>109</v>
      </c>
      <c r="O39" s="8" t="s">
        <v>34</v>
      </c>
      <c r="P39" s="9"/>
      <c r="Q39" s="8"/>
      <c r="R39" s="8"/>
      <c r="S39" s="11" t="s">
        <v>35</v>
      </c>
      <c r="T39" s="11" t="s">
        <v>35</v>
      </c>
      <c r="U39" s="11" t="s">
        <v>35</v>
      </c>
      <c r="V39" s="11" t="s">
        <v>35</v>
      </c>
      <c r="W39" s="12" t="s">
        <v>226</v>
      </c>
    </row>
    <row r="40" customFormat="false" ht="15" hidden="false" customHeight="true" outlineLevel="0" collapsed="false">
      <c r="A40" s="4" t="s">
        <v>102</v>
      </c>
      <c r="B40" s="5" t="s">
        <v>284</v>
      </c>
      <c r="C40" s="6" t="s">
        <v>205</v>
      </c>
      <c r="D40" s="6" t="s">
        <v>285</v>
      </c>
      <c r="E40" s="6" t="s">
        <v>286</v>
      </c>
      <c r="F40" s="6" t="s">
        <v>280</v>
      </c>
      <c r="G40" s="6" t="s">
        <v>287</v>
      </c>
      <c r="H40" s="7" t="s">
        <v>288</v>
      </c>
      <c r="I40" s="7" t="s">
        <v>31</v>
      </c>
      <c r="J40" s="8"/>
      <c r="K40" s="8"/>
      <c r="L40" s="8"/>
      <c r="M40" s="6" t="s">
        <v>289</v>
      </c>
      <c r="N40" s="6" t="s">
        <v>109</v>
      </c>
      <c r="O40" s="8" t="s">
        <v>34</v>
      </c>
      <c r="P40" s="9"/>
      <c r="Q40" s="8"/>
      <c r="R40" s="8"/>
      <c r="S40" s="11" t="s">
        <v>35</v>
      </c>
      <c r="T40" s="11" t="s">
        <v>35</v>
      </c>
      <c r="U40" s="11" t="s">
        <v>35</v>
      </c>
      <c r="V40" s="11" t="s">
        <v>35</v>
      </c>
      <c r="W40" s="12" t="s">
        <v>226</v>
      </c>
    </row>
    <row r="41" customFormat="false" ht="15" hidden="false" customHeight="true" outlineLevel="0" collapsed="false">
      <c r="A41" s="4" t="s">
        <v>102</v>
      </c>
      <c r="B41" s="5" t="s">
        <v>290</v>
      </c>
      <c r="C41" s="6" t="s">
        <v>272</v>
      </c>
      <c r="D41" s="6" t="s">
        <v>291</v>
      </c>
      <c r="E41" s="6" t="s">
        <v>292</v>
      </c>
      <c r="F41" s="6" t="s">
        <v>293</v>
      </c>
      <c r="G41" s="6" t="s">
        <v>294</v>
      </c>
      <c r="H41" s="6"/>
      <c r="I41" s="7" t="s">
        <v>31</v>
      </c>
      <c r="J41" s="8"/>
      <c r="K41" s="8"/>
      <c r="L41" s="8"/>
      <c r="M41" s="6" t="s">
        <v>295</v>
      </c>
      <c r="N41" s="6" t="s">
        <v>109</v>
      </c>
      <c r="O41" s="8" t="s">
        <v>34</v>
      </c>
      <c r="P41" s="9"/>
      <c r="Q41" s="8"/>
      <c r="R41" s="8"/>
      <c r="S41" s="11" t="s">
        <v>35</v>
      </c>
      <c r="T41" s="11" t="s">
        <v>35</v>
      </c>
      <c r="U41" s="11" t="s">
        <v>35</v>
      </c>
      <c r="V41" s="11" t="s">
        <v>35</v>
      </c>
      <c r="W41" s="12" t="s">
        <v>226</v>
      </c>
    </row>
    <row r="42" customFormat="false" ht="15" hidden="false" customHeight="true" outlineLevel="0" collapsed="false">
      <c r="A42" s="4" t="s">
        <v>102</v>
      </c>
      <c r="B42" s="5" t="s">
        <v>296</v>
      </c>
      <c r="C42" s="6" t="s">
        <v>297</v>
      </c>
      <c r="D42" s="6" t="s">
        <v>298</v>
      </c>
      <c r="E42" s="6" t="s">
        <v>299</v>
      </c>
      <c r="F42" s="6" t="s">
        <v>300</v>
      </c>
      <c r="G42" s="6" t="s">
        <v>301</v>
      </c>
      <c r="H42" s="7" t="s">
        <v>302</v>
      </c>
      <c r="I42" s="7" t="s">
        <v>31</v>
      </c>
      <c r="J42" s="8"/>
      <c r="K42" s="8"/>
      <c r="L42" s="8"/>
      <c r="M42" s="6" t="s">
        <v>303</v>
      </c>
      <c r="N42" s="6" t="s">
        <v>109</v>
      </c>
      <c r="O42" s="8" t="s">
        <v>34</v>
      </c>
      <c r="P42" s="9"/>
      <c r="Q42" s="8"/>
      <c r="R42" s="8"/>
      <c r="S42" s="11" t="s">
        <v>35</v>
      </c>
      <c r="T42" s="11" t="s">
        <v>35</v>
      </c>
      <c r="U42" s="11" t="s">
        <v>35</v>
      </c>
      <c r="V42" s="11" t="s">
        <v>35</v>
      </c>
      <c r="W42" s="12" t="s">
        <v>226</v>
      </c>
    </row>
    <row r="43" customFormat="false" ht="15" hidden="false" customHeight="true" outlineLevel="0" collapsed="false">
      <c r="A43" s="4" t="s">
        <v>102</v>
      </c>
      <c r="B43" s="5" t="s">
        <v>304</v>
      </c>
      <c r="C43" s="6" t="s">
        <v>205</v>
      </c>
      <c r="D43" s="6" t="s">
        <v>305</v>
      </c>
      <c r="E43" s="6" t="s">
        <v>306</v>
      </c>
      <c r="F43" s="6" t="s">
        <v>253</v>
      </c>
      <c r="G43" s="6" t="s">
        <v>307</v>
      </c>
      <c r="H43" s="7" t="s">
        <v>308</v>
      </c>
      <c r="I43" s="7" t="s">
        <v>31</v>
      </c>
      <c r="J43" s="8"/>
      <c r="K43" s="8"/>
      <c r="L43" s="8"/>
      <c r="M43" s="6" t="s">
        <v>309</v>
      </c>
      <c r="N43" s="6" t="s">
        <v>109</v>
      </c>
      <c r="O43" s="8" t="s">
        <v>34</v>
      </c>
      <c r="P43" s="9"/>
      <c r="Q43" s="8"/>
      <c r="R43" s="8"/>
      <c r="S43" s="11" t="s">
        <v>35</v>
      </c>
      <c r="T43" s="11" t="s">
        <v>35</v>
      </c>
      <c r="U43" s="11" t="s">
        <v>35</v>
      </c>
      <c r="V43" s="11" t="s">
        <v>35</v>
      </c>
      <c r="W43" s="12" t="s">
        <v>226</v>
      </c>
    </row>
    <row r="44" customFormat="false" ht="15" hidden="false" customHeight="true" outlineLevel="0" collapsed="false">
      <c r="A44" s="4" t="s">
        <v>102</v>
      </c>
      <c r="B44" s="5" t="s">
        <v>310</v>
      </c>
      <c r="C44" s="6" t="s">
        <v>311</v>
      </c>
      <c r="D44" s="6" t="s">
        <v>312</v>
      </c>
      <c r="E44" s="6" t="s">
        <v>313</v>
      </c>
      <c r="F44" s="6" t="s">
        <v>238</v>
      </c>
      <c r="G44" s="6" t="s">
        <v>314</v>
      </c>
      <c r="H44" s="7" t="s">
        <v>315</v>
      </c>
      <c r="I44" s="7" t="s">
        <v>31</v>
      </c>
      <c r="J44" s="8"/>
      <c r="K44" s="8"/>
      <c r="L44" s="8"/>
      <c r="M44" s="6" t="s">
        <v>316</v>
      </c>
      <c r="N44" s="6" t="s">
        <v>109</v>
      </c>
      <c r="O44" s="8" t="s">
        <v>34</v>
      </c>
      <c r="P44" s="9"/>
      <c r="Q44" s="8"/>
      <c r="R44" s="8"/>
      <c r="S44" s="11" t="s">
        <v>35</v>
      </c>
      <c r="T44" s="11" t="s">
        <v>35</v>
      </c>
      <c r="U44" s="11" t="s">
        <v>35</v>
      </c>
      <c r="V44" s="11" t="s">
        <v>35</v>
      </c>
      <c r="W44" s="12" t="s">
        <v>264</v>
      </c>
    </row>
    <row r="45" customFormat="false" ht="15" hidden="false" customHeight="true" outlineLevel="0" collapsed="false">
      <c r="A45" s="4" t="s">
        <v>102</v>
      </c>
      <c r="B45" s="5" t="s">
        <v>317</v>
      </c>
      <c r="C45" s="6" t="s">
        <v>318</v>
      </c>
      <c r="D45" s="6" t="s">
        <v>319</v>
      </c>
      <c r="E45" s="6" t="s">
        <v>320</v>
      </c>
      <c r="F45" s="6" t="s">
        <v>238</v>
      </c>
      <c r="G45" s="6" t="s">
        <v>321</v>
      </c>
      <c r="H45" s="7" t="s">
        <v>322</v>
      </c>
      <c r="I45" s="7" t="s">
        <v>31</v>
      </c>
      <c r="J45" s="8"/>
      <c r="K45" s="8"/>
      <c r="L45" s="8"/>
      <c r="M45" s="6" t="s">
        <v>323</v>
      </c>
      <c r="N45" s="6" t="s">
        <v>109</v>
      </c>
      <c r="O45" s="8" t="s">
        <v>34</v>
      </c>
      <c r="P45" s="9"/>
      <c r="Q45" s="8"/>
      <c r="R45" s="8"/>
      <c r="S45" s="11" t="s">
        <v>35</v>
      </c>
      <c r="T45" s="11" t="s">
        <v>35</v>
      </c>
      <c r="U45" s="11" t="s">
        <v>35</v>
      </c>
      <c r="V45" s="11" t="s">
        <v>35</v>
      </c>
      <c r="W45" s="13" t="s">
        <v>324</v>
      </c>
    </row>
    <row r="46" customFormat="false" ht="15" hidden="false" customHeight="true" outlineLevel="0" collapsed="false">
      <c r="A46" s="4" t="s">
        <v>102</v>
      </c>
      <c r="B46" s="5" t="s">
        <v>325</v>
      </c>
      <c r="C46" s="6" t="s">
        <v>326</v>
      </c>
      <c r="D46" s="6" t="s">
        <v>327</v>
      </c>
      <c r="E46" s="6" t="s">
        <v>328</v>
      </c>
      <c r="F46" s="6" t="s">
        <v>293</v>
      </c>
      <c r="G46" s="6" t="s">
        <v>329</v>
      </c>
      <c r="H46" s="7" t="s">
        <v>330</v>
      </c>
      <c r="I46" s="7" t="s">
        <v>31</v>
      </c>
      <c r="J46" s="8"/>
      <c r="K46" s="8"/>
      <c r="L46" s="8"/>
      <c r="M46" s="6" t="s">
        <v>331</v>
      </c>
      <c r="N46" s="6" t="s">
        <v>109</v>
      </c>
      <c r="O46" s="8" t="s">
        <v>34</v>
      </c>
      <c r="P46" s="9"/>
      <c r="Q46" s="8"/>
      <c r="R46" s="8"/>
      <c r="S46" s="11" t="s">
        <v>35</v>
      </c>
      <c r="T46" s="11" t="s">
        <v>35</v>
      </c>
      <c r="U46" s="11" t="s">
        <v>35</v>
      </c>
      <c r="V46" s="11" t="s">
        <v>35</v>
      </c>
      <c r="W46" s="13" t="s">
        <v>324</v>
      </c>
    </row>
    <row r="47" customFormat="false" ht="15" hidden="false" customHeight="true" outlineLevel="0" collapsed="false">
      <c r="A47" s="4" t="s">
        <v>102</v>
      </c>
      <c r="B47" s="5" t="s">
        <v>332</v>
      </c>
      <c r="C47" s="6" t="s">
        <v>326</v>
      </c>
      <c r="D47" s="6" t="s">
        <v>333</v>
      </c>
      <c r="E47" s="6" t="s">
        <v>334</v>
      </c>
      <c r="F47" s="6" t="s">
        <v>280</v>
      </c>
      <c r="G47" s="6" t="s">
        <v>335</v>
      </c>
      <c r="H47" s="7" t="s">
        <v>336</v>
      </c>
      <c r="I47" s="7" t="s">
        <v>31</v>
      </c>
      <c r="J47" s="8"/>
      <c r="K47" s="8"/>
      <c r="L47" s="8"/>
      <c r="M47" s="6" t="s">
        <v>337</v>
      </c>
      <c r="N47" s="6" t="s">
        <v>109</v>
      </c>
      <c r="O47" s="8" t="s">
        <v>34</v>
      </c>
      <c r="P47" s="9"/>
      <c r="Q47" s="8"/>
      <c r="R47" s="8"/>
      <c r="S47" s="11" t="s">
        <v>35</v>
      </c>
      <c r="T47" s="11" t="s">
        <v>35</v>
      </c>
      <c r="U47" s="11" t="s">
        <v>35</v>
      </c>
      <c r="V47" s="11" t="s">
        <v>35</v>
      </c>
      <c r="W47" s="13" t="s">
        <v>324</v>
      </c>
    </row>
    <row r="48" customFormat="false" ht="15" hidden="false" customHeight="true" outlineLevel="0" collapsed="false">
      <c r="A48" s="4" t="s">
        <v>102</v>
      </c>
      <c r="B48" s="5" t="s">
        <v>338</v>
      </c>
      <c r="C48" s="6" t="s">
        <v>339</v>
      </c>
      <c r="D48" s="6" t="s">
        <v>340</v>
      </c>
      <c r="E48" s="6" t="s">
        <v>341</v>
      </c>
      <c r="F48" s="6" t="s">
        <v>293</v>
      </c>
      <c r="G48" s="6"/>
      <c r="H48" s="7" t="s">
        <v>342</v>
      </c>
      <c r="I48" s="7" t="s">
        <v>31</v>
      </c>
      <c r="J48" s="8"/>
      <c r="K48" s="8"/>
      <c r="L48" s="8"/>
      <c r="M48" s="6" t="s">
        <v>343</v>
      </c>
      <c r="N48" s="6" t="s">
        <v>109</v>
      </c>
      <c r="O48" s="8" t="s">
        <v>34</v>
      </c>
      <c r="P48" s="9"/>
      <c r="Q48" s="8"/>
      <c r="R48" s="8"/>
      <c r="S48" s="11" t="s">
        <v>35</v>
      </c>
      <c r="T48" s="11" t="s">
        <v>35</v>
      </c>
      <c r="U48" s="11" t="s">
        <v>35</v>
      </c>
      <c r="V48" s="11" t="s">
        <v>35</v>
      </c>
      <c r="W48" s="13" t="s">
        <v>324</v>
      </c>
    </row>
    <row r="49" customFormat="false" ht="15" hidden="false" customHeight="true" outlineLevel="0" collapsed="false">
      <c r="A49" s="4" t="s">
        <v>102</v>
      </c>
      <c r="B49" s="5" t="s">
        <v>344</v>
      </c>
      <c r="C49" s="6" t="s">
        <v>345</v>
      </c>
      <c r="D49" s="6" t="s">
        <v>346</v>
      </c>
      <c r="E49" s="6" t="s">
        <v>347</v>
      </c>
      <c r="F49" s="6" t="s">
        <v>222</v>
      </c>
      <c r="G49" s="6" t="s">
        <v>348</v>
      </c>
      <c r="H49" s="7" t="s">
        <v>349</v>
      </c>
      <c r="I49" s="7" t="s">
        <v>31</v>
      </c>
      <c r="J49" s="8"/>
      <c r="K49" s="8"/>
      <c r="L49" s="8"/>
      <c r="M49" s="6" t="s">
        <v>350</v>
      </c>
      <c r="N49" s="6" t="s">
        <v>109</v>
      </c>
      <c r="O49" s="8" t="s">
        <v>34</v>
      </c>
      <c r="P49" s="9"/>
      <c r="Q49" s="8"/>
      <c r="R49" s="8"/>
      <c r="S49" s="11" t="s">
        <v>35</v>
      </c>
      <c r="T49" s="11" t="s">
        <v>35</v>
      </c>
      <c r="U49" s="11" t="s">
        <v>35</v>
      </c>
      <c r="V49" s="11" t="s">
        <v>35</v>
      </c>
      <c r="W49" s="12" t="s">
        <v>226</v>
      </c>
    </row>
    <row r="50" customFormat="false" ht="15" hidden="false" customHeight="true" outlineLevel="0" collapsed="false">
      <c r="A50" s="4" t="s">
        <v>102</v>
      </c>
      <c r="B50" s="5" t="s">
        <v>351</v>
      </c>
      <c r="C50" s="6" t="s">
        <v>352</v>
      </c>
      <c r="D50" s="6" t="s">
        <v>353</v>
      </c>
      <c r="E50" s="6" t="s">
        <v>354</v>
      </c>
      <c r="F50" s="6" t="s">
        <v>355</v>
      </c>
      <c r="G50" s="6" t="s">
        <v>356</v>
      </c>
      <c r="H50" s="7" t="s">
        <v>357</v>
      </c>
      <c r="I50" s="7" t="s">
        <v>31</v>
      </c>
      <c r="J50" s="8"/>
      <c r="K50" s="8"/>
      <c r="L50" s="8"/>
      <c r="M50" s="6" t="s">
        <v>358</v>
      </c>
      <c r="N50" s="6" t="s">
        <v>109</v>
      </c>
      <c r="O50" s="8" t="s">
        <v>34</v>
      </c>
      <c r="P50" s="9"/>
      <c r="Q50" s="8"/>
      <c r="R50" s="8"/>
      <c r="S50" s="11" t="s">
        <v>35</v>
      </c>
      <c r="T50" s="11" t="s">
        <v>35</v>
      </c>
      <c r="U50" s="11" t="s">
        <v>35</v>
      </c>
      <c r="V50" s="11" t="s">
        <v>35</v>
      </c>
      <c r="W50" s="12" t="s">
        <v>226</v>
      </c>
    </row>
    <row r="51" customFormat="false" ht="15" hidden="false" customHeight="true" outlineLevel="0" collapsed="false">
      <c r="A51" s="4" t="s">
        <v>188</v>
      </c>
      <c r="B51" s="5" t="s">
        <v>359</v>
      </c>
      <c r="C51" s="6" t="s">
        <v>205</v>
      </c>
      <c r="D51" s="6" t="s">
        <v>360</v>
      </c>
      <c r="E51" s="6" t="s">
        <v>361</v>
      </c>
      <c r="F51" s="6" t="s">
        <v>293</v>
      </c>
      <c r="G51" s="6" t="s">
        <v>362</v>
      </c>
      <c r="H51" s="6"/>
      <c r="I51" s="7" t="s">
        <v>31</v>
      </c>
      <c r="J51" s="8"/>
      <c r="K51" s="8"/>
      <c r="L51" s="8"/>
      <c r="M51" s="6" t="s">
        <v>363</v>
      </c>
      <c r="N51" s="6" t="s">
        <v>196</v>
      </c>
      <c r="O51" s="8" t="s">
        <v>34</v>
      </c>
      <c r="P51" s="9"/>
      <c r="Q51" s="8"/>
      <c r="R51" s="8"/>
      <c r="S51" s="11" t="s">
        <v>35</v>
      </c>
      <c r="T51" s="11" t="s">
        <v>35</v>
      </c>
      <c r="U51" s="11" t="s">
        <v>35</v>
      </c>
      <c r="V51" s="11" t="s">
        <v>35</v>
      </c>
      <c r="W51" s="12" t="s">
        <v>226</v>
      </c>
    </row>
    <row r="52" customFormat="false" ht="15" hidden="false" customHeight="true" outlineLevel="0" collapsed="false">
      <c r="A52" s="4" t="s">
        <v>188</v>
      </c>
      <c r="B52" s="5" t="s">
        <v>364</v>
      </c>
      <c r="C52" s="6" t="s">
        <v>205</v>
      </c>
      <c r="D52" s="6" t="s">
        <v>365</v>
      </c>
      <c r="E52" s="6" t="s">
        <v>366</v>
      </c>
      <c r="F52" s="6" t="s">
        <v>222</v>
      </c>
      <c r="G52" s="6" t="s">
        <v>367</v>
      </c>
      <c r="H52" s="7" t="s">
        <v>368</v>
      </c>
      <c r="I52" s="7" t="s">
        <v>31</v>
      </c>
      <c r="J52" s="8"/>
      <c r="K52" s="8"/>
      <c r="L52" s="8"/>
      <c r="M52" s="6" t="s">
        <v>369</v>
      </c>
      <c r="N52" s="6" t="s">
        <v>196</v>
      </c>
      <c r="O52" s="8" t="s">
        <v>34</v>
      </c>
      <c r="P52" s="9"/>
      <c r="Q52" s="8"/>
      <c r="R52" s="8"/>
      <c r="S52" s="11" t="s">
        <v>35</v>
      </c>
      <c r="T52" s="11" t="s">
        <v>35</v>
      </c>
      <c r="U52" s="11" t="s">
        <v>35</v>
      </c>
      <c r="V52" s="11" t="s">
        <v>35</v>
      </c>
      <c r="W52" s="12" t="s">
        <v>226</v>
      </c>
    </row>
    <row r="53" customFormat="false" ht="15" hidden="false" customHeight="true" outlineLevel="0" collapsed="false">
      <c r="A53" s="4" t="s">
        <v>188</v>
      </c>
      <c r="B53" s="5" t="s">
        <v>370</v>
      </c>
      <c r="C53" s="6" t="s">
        <v>371</v>
      </c>
      <c r="D53" s="6" t="s">
        <v>372</v>
      </c>
      <c r="E53" s="6" t="s">
        <v>373</v>
      </c>
      <c r="F53" s="6" t="s">
        <v>222</v>
      </c>
      <c r="G53" s="6" t="s">
        <v>374</v>
      </c>
      <c r="H53" s="7" t="s">
        <v>375</v>
      </c>
      <c r="I53" s="7" t="s">
        <v>31</v>
      </c>
      <c r="J53" s="8"/>
      <c r="K53" s="8"/>
      <c r="L53" s="8"/>
      <c r="M53" s="6" t="s">
        <v>376</v>
      </c>
      <c r="N53" s="6" t="s">
        <v>196</v>
      </c>
      <c r="O53" s="8" t="s">
        <v>34</v>
      </c>
      <c r="P53" s="9"/>
      <c r="Q53" s="8"/>
      <c r="R53" s="8"/>
      <c r="S53" s="11" t="s">
        <v>35</v>
      </c>
      <c r="T53" s="11" t="s">
        <v>35</v>
      </c>
      <c r="U53" s="11" t="s">
        <v>35</v>
      </c>
      <c r="V53" s="11" t="s">
        <v>35</v>
      </c>
      <c r="W53" s="12" t="s">
        <v>226</v>
      </c>
    </row>
    <row r="54" customFormat="false" ht="15" hidden="false" customHeight="true" outlineLevel="0" collapsed="false">
      <c r="A54" s="4" t="s">
        <v>188</v>
      </c>
      <c r="B54" s="5" t="s">
        <v>377</v>
      </c>
      <c r="C54" s="6" t="s">
        <v>378</v>
      </c>
      <c r="D54" s="6" t="s">
        <v>379</v>
      </c>
      <c r="E54" s="6" t="s">
        <v>380</v>
      </c>
      <c r="F54" s="6" t="s">
        <v>381</v>
      </c>
      <c r="G54" s="6" t="s">
        <v>382</v>
      </c>
      <c r="H54" s="7" t="s">
        <v>383</v>
      </c>
      <c r="I54" s="7" t="s">
        <v>31</v>
      </c>
      <c r="J54" s="8"/>
      <c r="K54" s="8"/>
      <c r="L54" s="8"/>
      <c r="M54" s="6" t="s">
        <v>384</v>
      </c>
      <c r="N54" s="6" t="s">
        <v>196</v>
      </c>
      <c r="O54" s="8" t="s">
        <v>34</v>
      </c>
      <c r="P54" s="9"/>
      <c r="Q54" s="8"/>
      <c r="R54" s="8"/>
      <c r="S54" s="11" t="s">
        <v>35</v>
      </c>
      <c r="T54" s="11" t="s">
        <v>35</v>
      </c>
      <c r="U54" s="11" t="s">
        <v>35</v>
      </c>
      <c r="V54" s="11" t="s">
        <v>35</v>
      </c>
      <c r="W54" s="12" t="s">
        <v>226</v>
      </c>
    </row>
    <row r="55" customFormat="false" ht="15" hidden="false" customHeight="true" outlineLevel="0" collapsed="false">
      <c r="A55" s="4" t="s">
        <v>188</v>
      </c>
      <c r="B55" s="5" t="s">
        <v>385</v>
      </c>
      <c r="C55" s="6" t="s">
        <v>386</v>
      </c>
      <c r="D55" s="6" t="s">
        <v>387</v>
      </c>
      <c r="E55" s="6" t="s">
        <v>388</v>
      </c>
      <c r="F55" s="6" t="s">
        <v>245</v>
      </c>
      <c r="G55" s="6" t="s">
        <v>389</v>
      </c>
      <c r="H55" s="7" t="s">
        <v>390</v>
      </c>
      <c r="I55" s="7" t="s">
        <v>31</v>
      </c>
      <c r="J55" s="8"/>
      <c r="K55" s="8"/>
      <c r="L55" s="8"/>
      <c r="M55" s="6" t="s">
        <v>391</v>
      </c>
      <c r="N55" s="6" t="s">
        <v>196</v>
      </c>
      <c r="O55" s="8" t="s">
        <v>34</v>
      </c>
      <c r="P55" s="9"/>
      <c r="Q55" s="8"/>
      <c r="R55" s="8"/>
      <c r="S55" s="11" t="s">
        <v>35</v>
      </c>
      <c r="T55" s="11" t="s">
        <v>35</v>
      </c>
      <c r="U55" s="11" t="s">
        <v>35</v>
      </c>
      <c r="V55" s="11" t="s">
        <v>35</v>
      </c>
      <c r="W55" s="12" t="s">
        <v>226</v>
      </c>
    </row>
    <row r="56" customFormat="false" ht="15" hidden="false" customHeight="true" outlineLevel="0" collapsed="false">
      <c r="A56" s="4" t="s">
        <v>188</v>
      </c>
      <c r="B56" s="5" t="s">
        <v>392</v>
      </c>
      <c r="C56" s="6" t="s">
        <v>205</v>
      </c>
      <c r="D56" s="6" t="s">
        <v>393</v>
      </c>
      <c r="E56" s="6" t="s">
        <v>394</v>
      </c>
      <c r="F56" s="6" t="s">
        <v>253</v>
      </c>
      <c r="G56" s="6"/>
      <c r="H56" s="7" t="s">
        <v>395</v>
      </c>
      <c r="I56" s="7" t="s">
        <v>31</v>
      </c>
      <c r="J56" s="8"/>
      <c r="K56" s="8"/>
      <c r="L56" s="8"/>
      <c r="M56" s="6" t="s">
        <v>396</v>
      </c>
      <c r="N56" s="6" t="s">
        <v>196</v>
      </c>
      <c r="O56" s="8" t="s">
        <v>34</v>
      </c>
      <c r="P56" s="9"/>
      <c r="Q56" s="8"/>
      <c r="R56" s="8"/>
      <c r="S56" s="11" t="s">
        <v>35</v>
      </c>
      <c r="T56" s="11" t="s">
        <v>35</v>
      </c>
      <c r="U56" s="11" t="s">
        <v>35</v>
      </c>
      <c r="V56" s="11" t="s">
        <v>35</v>
      </c>
      <c r="W56" s="12" t="s">
        <v>226</v>
      </c>
    </row>
    <row r="57" customFormat="false" ht="15" hidden="false" customHeight="true" outlineLevel="0" collapsed="false">
      <c r="P57" s="14"/>
    </row>
    <row r="58" customFormat="false" ht="15" hidden="false" customHeight="true" outlineLevel="0" collapsed="false">
      <c r="P58" s="14"/>
    </row>
    <row r="59" customFormat="false" ht="15" hidden="false" customHeight="true" outlineLevel="0" collapsed="false">
      <c r="P59" s="14"/>
    </row>
    <row r="60" customFormat="false" ht="15" hidden="false" customHeight="true" outlineLevel="0" collapsed="false">
      <c r="P60" s="14"/>
    </row>
    <row r="61" customFormat="false" ht="15" hidden="false" customHeight="true" outlineLevel="0" collapsed="false">
      <c r="P61" s="14"/>
    </row>
    <row r="62" customFormat="false" ht="15" hidden="false" customHeight="true" outlineLevel="0" collapsed="false">
      <c r="P62" s="14"/>
    </row>
    <row r="63" customFormat="false" ht="15" hidden="false" customHeight="true" outlineLevel="0" collapsed="false">
      <c r="P63" s="14"/>
    </row>
    <row r="64" customFormat="false" ht="15" hidden="false" customHeight="true" outlineLevel="0" collapsed="false">
      <c r="P64" s="14"/>
    </row>
    <row r="65" customFormat="false" ht="15" hidden="false" customHeight="true" outlineLevel="0" collapsed="false">
      <c r="P65" s="14"/>
    </row>
    <row r="66" customFormat="false" ht="15" hidden="false" customHeight="true" outlineLevel="0" collapsed="false">
      <c r="P66" s="14"/>
    </row>
    <row r="67" customFormat="false" ht="15" hidden="false" customHeight="true" outlineLevel="0" collapsed="false">
      <c r="P67" s="14"/>
    </row>
    <row r="68" customFormat="false" ht="15" hidden="false" customHeight="true" outlineLevel="0" collapsed="false">
      <c r="P68" s="14"/>
    </row>
    <row r="69" customFormat="false" ht="15" hidden="false" customHeight="true" outlineLevel="0" collapsed="false">
      <c r="P69" s="14"/>
    </row>
    <row r="70" customFormat="false" ht="15" hidden="false" customHeight="true" outlineLevel="0" collapsed="false">
      <c r="P70" s="14"/>
    </row>
    <row r="71" customFormat="false" ht="15" hidden="false" customHeight="true" outlineLevel="0" collapsed="false">
      <c r="P71" s="14"/>
    </row>
    <row r="72" customFormat="false" ht="15" hidden="false" customHeight="true" outlineLevel="0" collapsed="false">
      <c r="P72" s="14"/>
    </row>
    <row r="73" customFormat="false" ht="15" hidden="false" customHeight="true" outlineLevel="0" collapsed="false">
      <c r="P73" s="14"/>
    </row>
    <row r="74" customFormat="false" ht="15" hidden="false" customHeight="true" outlineLevel="0" collapsed="false">
      <c r="P74" s="14"/>
    </row>
    <row r="75" customFormat="false" ht="15" hidden="false" customHeight="true" outlineLevel="0" collapsed="false">
      <c r="P75" s="14"/>
    </row>
    <row r="76" customFormat="false" ht="15" hidden="false" customHeight="true" outlineLevel="0" collapsed="false">
      <c r="P76" s="14"/>
    </row>
    <row r="77" customFormat="false" ht="15" hidden="false" customHeight="true" outlineLevel="0" collapsed="false">
      <c r="P77" s="14"/>
    </row>
    <row r="78" customFormat="false" ht="15" hidden="false" customHeight="true" outlineLevel="0" collapsed="false">
      <c r="P78" s="14"/>
    </row>
    <row r="79" customFormat="false" ht="15" hidden="false" customHeight="true" outlineLevel="0" collapsed="false">
      <c r="P79" s="14"/>
    </row>
    <row r="80" customFormat="false" ht="15" hidden="false" customHeight="true" outlineLevel="0" collapsed="false">
      <c r="P80" s="14"/>
    </row>
    <row r="81" customFormat="false" ht="15" hidden="false" customHeight="true" outlineLevel="0" collapsed="false">
      <c r="P81" s="14"/>
    </row>
    <row r="82" customFormat="false" ht="15" hidden="false" customHeight="true" outlineLevel="0" collapsed="false">
      <c r="P82" s="14"/>
    </row>
    <row r="83" customFormat="false" ht="15" hidden="false" customHeight="true" outlineLevel="0" collapsed="false">
      <c r="P83" s="14"/>
    </row>
    <row r="84" customFormat="false" ht="15" hidden="false" customHeight="true" outlineLevel="0" collapsed="false">
      <c r="P84" s="14"/>
    </row>
    <row r="85" customFormat="false" ht="15" hidden="false" customHeight="true" outlineLevel="0" collapsed="false">
      <c r="P85" s="14"/>
    </row>
    <row r="86" customFormat="false" ht="15" hidden="false" customHeight="true" outlineLevel="0" collapsed="false">
      <c r="P86" s="14"/>
    </row>
    <row r="87" customFormat="false" ht="15" hidden="false" customHeight="true" outlineLevel="0" collapsed="false">
      <c r="P87" s="14"/>
    </row>
    <row r="88" customFormat="false" ht="15" hidden="false" customHeight="true" outlineLevel="0" collapsed="false">
      <c r="P88" s="14"/>
    </row>
    <row r="89" customFormat="false" ht="15" hidden="false" customHeight="true" outlineLevel="0" collapsed="false">
      <c r="P89" s="14"/>
    </row>
    <row r="90" customFormat="false" ht="15" hidden="false" customHeight="true" outlineLevel="0" collapsed="false">
      <c r="P90" s="14"/>
    </row>
    <row r="91" customFormat="false" ht="15" hidden="false" customHeight="true" outlineLevel="0" collapsed="false">
      <c r="P91" s="14"/>
    </row>
    <row r="92" customFormat="false" ht="15" hidden="false" customHeight="true" outlineLevel="0" collapsed="false">
      <c r="P92" s="14"/>
    </row>
    <row r="93" customFormat="false" ht="15" hidden="false" customHeight="true" outlineLevel="0" collapsed="false">
      <c r="P93" s="14"/>
    </row>
    <row r="94" customFormat="false" ht="15" hidden="false" customHeight="true" outlineLevel="0" collapsed="false">
      <c r="P94" s="14"/>
    </row>
    <row r="95" customFormat="false" ht="15" hidden="false" customHeight="true" outlineLevel="0" collapsed="false">
      <c r="P95" s="14"/>
    </row>
    <row r="96" customFormat="false" ht="15" hidden="false" customHeight="true" outlineLevel="0" collapsed="false">
      <c r="P96" s="14"/>
    </row>
    <row r="97" customFormat="false" ht="15" hidden="false" customHeight="true" outlineLevel="0" collapsed="false">
      <c r="P97" s="14"/>
    </row>
    <row r="98" customFormat="false" ht="15" hidden="false" customHeight="true" outlineLevel="0" collapsed="false">
      <c r="P98" s="14"/>
    </row>
    <row r="99" customFormat="false" ht="15" hidden="false" customHeight="true" outlineLevel="0" collapsed="false">
      <c r="P99" s="14"/>
    </row>
    <row r="100" customFormat="false" ht="15" hidden="false" customHeight="true" outlineLevel="0" collapsed="false">
      <c r="P100" s="14"/>
    </row>
    <row r="101" customFormat="false" ht="15" hidden="false" customHeight="true" outlineLevel="0" collapsed="false">
      <c r="P101" s="14"/>
    </row>
    <row r="102" customFormat="false" ht="15" hidden="false" customHeight="true" outlineLevel="0" collapsed="false">
      <c r="P102" s="14"/>
    </row>
    <row r="103" customFormat="false" ht="15" hidden="false" customHeight="true" outlineLevel="0" collapsed="false">
      <c r="P103" s="14"/>
    </row>
    <row r="104" customFormat="false" ht="15" hidden="false" customHeight="true" outlineLevel="0" collapsed="false">
      <c r="P104" s="14"/>
    </row>
    <row r="105" customFormat="false" ht="15" hidden="false" customHeight="true" outlineLevel="0" collapsed="false">
      <c r="P105" s="14"/>
    </row>
    <row r="106" customFormat="false" ht="15" hidden="false" customHeight="true" outlineLevel="0" collapsed="false">
      <c r="P106" s="14"/>
    </row>
    <row r="107" customFormat="false" ht="15" hidden="false" customHeight="true" outlineLevel="0" collapsed="false">
      <c r="P107" s="14"/>
    </row>
    <row r="108" customFormat="false" ht="15" hidden="false" customHeight="true" outlineLevel="0" collapsed="false">
      <c r="P108" s="14"/>
    </row>
    <row r="109" customFormat="false" ht="15" hidden="false" customHeight="true" outlineLevel="0" collapsed="false">
      <c r="P109" s="14"/>
    </row>
    <row r="110" customFormat="false" ht="15" hidden="false" customHeight="true" outlineLevel="0" collapsed="false">
      <c r="P110" s="14"/>
    </row>
    <row r="111" customFormat="false" ht="15" hidden="false" customHeight="true" outlineLevel="0" collapsed="false">
      <c r="P111" s="14"/>
    </row>
    <row r="112" customFormat="false" ht="15" hidden="false" customHeight="true" outlineLevel="0" collapsed="false">
      <c r="P112" s="14"/>
    </row>
    <row r="113" customFormat="false" ht="15" hidden="false" customHeight="true" outlineLevel="0" collapsed="false">
      <c r="P113" s="14"/>
    </row>
    <row r="114" customFormat="false" ht="15" hidden="false" customHeight="true" outlineLevel="0" collapsed="false">
      <c r="P114" s="14"/>
    </row>
    <row r="115" customFormat="false" ht="15" hidden="false" customHeight="true" outlineLevel="0" collapsed="false">
      <c r="P115" s="14"/>
    </row>
    <row r="116" customFormat="false" ht="15" hidden="false" customHeight="true" outlineLevel="0" collapsed="false">
      <c r="P116" s="14"/>
    </row>
    <row r="117" customFormat="false" ht="15" hidden="false" customHeight="true" outlineLevel="0" collapsed="false">
      <c r="P117" s="14"/>
    </row>
    <row r="118" customFormat="false" ht="15" hidden="false" customHeight="true" outlineLevel="0" collapsed="false">
      <c r="P118" s="14"/>
    </row>
    <row r="119" customFormat="false" ht="15" hidden="false" customHeight="true" outlineLevel="0" collapsed="false">
      <c r="P119" s="14"/>
    </row>
    <row r="120" customFormat="false" ht="15" hidden="false" customHeight="true" outlineLevel="0" collapsed="false">
      <c r="P120" s="14"/>
    </row>
    <row r="121" customFormat="false" ht="15" hidden="false" customHeight="true" outlineLevel="0" collapsed="false">
      <c r="P121" s="14"/>
    </row>
    <row r="122" customFormat="false" ht="15" hidden="false" customHeight="true" outlineLevel="0" collapsed="false">
      <c r="P122" s="14"/>
    </row>
    <row r="123" customFormat="false" ht="15" hidden="false" customHeight="true" outlineLevel="0" collapsed="false">
      <c r="P123" s="14"/>
    </row>
    <row r="124" customFormat="false" ht="15" hidden="false" customHeight="true" outlineLevel="0" collapsed="false">
      <c r="P124" s="14"/>
    </row>
    <row r="125" customFormat="false" ht="15" hidden="false" customHeight="true" outlineLevel="0" collapsed="false">
      <c r="P125" s="14"/>
    </row>
    <row r="126" customFormat="false" ht="15" hidden="false" customHeight="true" outlineLevel="0" collapsed="false">
      <c r="P126" s="14"/>
    </row>
    <row r="127" customFormat="false" ht="15" hidden="false" customHeight="true" outlineLevel="0" collapsed="false">
      <c r="P127" s="14"/>
    </row>
    <row r="128" customFormat="false" ht="15" hidden="false" customHeight="true" outlineLevel="0" collapsed="false">
      <c r="P128" s="14"/>
    </row>
    <row r="129" customFormat="false" ht="15" hidden="false" customHeight="true" outlineLevel="0" collapsed="false">
      <c r="P129" s="14"/>
    </row>
    <row r="130" customFormat="false" ht="15" hidden="false" customHeight="true" outlineLevel="0" collapsed="false">
      <c r="P130" s="14"/>
    </row>
    <row r="131" customFormat="false" ht="15" hidden="false" customHeight="true" outlineLevel="0" collapsed="false">
      <c r="P131" s="14"/>
    </row>
    <row r="132" customFormat="false" ht="15" hidden="false" customHeight="true" outlineLevel="0" collapsed="false">
      <c r="P132" s="14"/>
    </row>
    <row r="133" customFormat="false" ht="15" hidden="false" customHeight="true" outlineLevel="0" collapsed="false">
      <c r="P133" s="14"/>
    </row>
    <row r="134" customFormat="false" ht="15" hidden="false" customHeight="true" outlineLevel="0" collapsed="false">
      <c r="P134" s="14"/>
    </row>
    <row r="135" customFormat="false" ht="15" hidden="false" customHeight="true" outlineLevel="0" collapsed="false">
      <c r="P135" s="14"/>
    </row>
    <row r="136" customFormat="false" ht="15" hidden="false" customHeight="true" outlineLevel="0" collapsed="false">
      <c r="P136" s="14"/>
    </row>
    <row r="137" customFormat="false" ht="15" hidden="false" customHeight="true" outlineLevel="0" collapsed="false">
      <c r="P137" s="14"/>
    </row>
    <row r="138" customFormat="false" ht="15" hidden="false" customHeight="true" outlineLevel="0" collapsed="false">
      <c r="P138" s="14"/>
    </row>
    <row r="139" customFormat="false" ht="15" hidden="false" customHeight="true" outlineLevel="0" collapsed="false">
      <c r="P139" s="14"/>
    </row>
    <row r="140" customFormat="false" ht="15" hidden="false" customHeight="true" outlineLevel="0" collapsed="false">
      <c r="P140" s="14"/>
    </row>
    <row r="141" customFormat="false" ht="15" hidden="false" customHeight="true" outlineLevel="0" collapsed="false">
      <c r="P141" s="14"/>
    </row>
    <row r="142" customFormat="false" ht="15" hidden="false" customHeight="true" outlineLevel="0" collapsed="false">
      <c r="P142" s="14"/>
    </row>
    <row r="143" customFormat="false" ht="15" hidden="false" customHeight="true" outlineLevel="0" collapsed="false">
      <c r="P143" s="14"/>
    </row>
    <row r="144" customFormat="false" ht="15" hidden="false" customHeight="true" outlineLevel="0" collapsed="false">
      <c r="P144" s="14"/>
    </row>
    <row r="145" customFormat="false" ht="15" hidden="false" customHeight="true" outlineLevel="0" collapsed="false">
      <c r="P145" s="14"/>
    </row>
    <row r="146" customFormat="false" ht="15" hidden="false" customHeight="true" outlineLevel="0" collapsed="false">
      <c r="P146" s="14"/>
    </row>
    <row r="147" customFormat="false" ht="15" hidden="false" customHeight="true" outlineLevel="0" collapsed="false">
      <c r="P147" s="14"/>
    </row>
    <row r="148" customFormat="false" ht="15" hidden="false" customHeight="true" outlineLevel="0" collapsed="false">
      <c r="P148" s="14"/>
    </row>
    <row r="149" customFormat="false" ht="15" hidden="false" customHeight="true" outlineLevel="0" collapsed="false">
      <c r="P149" s="14"/>
    </row>
    <row r="150" customFormat="false" ht="15" hidden="false" customHeight="true" outlineLevel="0" collapsed="false">
      <c r="P150" s="14"/>
    </row>
    <row r="151" customFormat="false" ht="15" hidden="false" customHeight="true" outlineLevel="0" collapsed="false">
      <c r="P151" s="14"/>
    </row>
    <row r="152" customFormat="false" ht="15" hidden="false" customHeight="true" outlineLevel="0" collapsed="false">
      <c r="P152" s="14"/>
    </row>
    <row r="153" customFormat="false" ht="15" hidden="false" customHeight="true" outlineLevel="0" collapsed="false">
      <c r="P153" s="14"/>
    </row>
    <row r="154" customFormat="false" ht="15" hidden="false" customHeight="true" outlineLevel="0" collapsed="false">
      <c r="P154" s="14"/>
    </row>
    <row r="155" customFormat="false" ht="15" hidden="false" customHeight="true" outlineLevel="0" collapsed="false">
      <c r="P155" s="14"/>
    </row>
    <row r="156" customFormat="false" ht="15" hidden="false" customHeight="true" outlineLevel="0" collapsed="false">
      <c r="P156" s="14"/>
    </row>
    <row r="157" customFormat="false" ht="15" hidden="false" customHeight="true" outlineLevel="0" collapsed="false">
      <c r="P157" s="14"/>
    </row>
    <row r="158" customFormat="false" ht="15" hidden="false" customHeight="true" outlineLevel="0" collapsed="false">
      <c r="P158" s="14"/>
    </row>
    <row r="159" customFormat="false" ht="15" hidden="false" customHeight="true" outlineLevel="0" collapsed="false">
      <c r="P159" s="14"/>
    </row>
    <row r="160" customFormat="false" ht="15" hidden="false" customHeight="true" outlineLevel="0" collapsed="false">
      <c r="P160" s="14"/>
    </row>
    <row r="161" customFormat="false" ht="15" hidden="false" customHeight="true" outlineLevel="0" collapsed="false">
      <c r="P161" s="14"/>
    </row>
    <row r="162" customFormat="false" ht="15" hidden="false" customHeight="true" outlineLevel="0" collapsed="false">
      <c r="P162" s="14"/>
    </row>
    <row r="163" customFormat="false" ht="15" hidden="false" customHeight="true" outlineLevel="0" collapsed="false">
      <c r="P163" s="14"/>
    </row>
    <row r="164" customFormat="false" ht="15" hidden="false" customHeight="true" outlineLevel="0" collapsed="false">
      <c r="P164" s="14"/>
    </row>
    <row r="165" customFormat="false" ht="15" hidden="false" customHeight="true" outlineLevel="0" collapsed="false">
      <c r="P165" s="14"/>
    </row>
    <row r="166" customFormat="false" ht="15" hidden="false" customHeight="true" outlineLevel="0" collapsed="false">
      <c r="P166" s="14"/>
    </row>
    <row r="167" customFormat="false" ht="15" hidden="false" customHeight="true" outlineLevel="0" collapsed="false">
      <c r="P167" s="14"/>
    </row>
    <row r="168" customFormat="false" ht="15" hidden="false" customHeight="true" outlineLevel="0" collapsed="false">
      <c r="P168" s="14"/>
    </row>
    <row r="169" customFormat="false" ht="15" hidden="false" customHeight="true" outlineLevel="0" collapsed="false">
      <c r="P169" s="14"/>
    </row>
    <row r="170" customFormat="false" ht="15" hidden="false" customHeight="true" outlineLevel="0" collapsed="false">
      <c r="P170" s="14"/>
    </row>
    <row r="171" customFormat="false" ht="15" hidden="false" customHeight="true" outlineLevel="0" collapsed="false">
      <c r="P171" s="14"/>
    </row>
    <row r="172" customFormat="false" ht="15" hidden="false" customHeight="true" outlineLevel="0" collapsed="false">
      <c r="P172" s="14"/>
    </row>
    <row r="173" customFormat="false" ht="15" hidden="false" customHeight="true" outlineLevel="0" collapsed="false">
      <c r="P173" s="14"/>
    </row>
    <row r="174" customFormat="false" ht="15" hidden="false" customHeight="true" outlineLevel="0" collapsed="false">
      <c r="P174" s="14"/>
    </row>
    <row r="175" customFormat="false" ht="15" hidden="false" customHeight="true" outlineLevel="0" collapsed="false">
      <c r="P175" s="14"/>
    </row>
    <row r="176" customFormat="false" ht="15" hidden="false" customHeight="true" outlineLevel="0" collapsed="false">
      <c r="P176" s="14"/>
    </row>
    <row r="177" customFormat="false" ht="15" hidden="false" customHeight="true" outlineLevel="0" collapsed="false">
      <c r="P177" s="14"/>
    </row>
    <row r="178" customFormat="false" ht="15" hidden="false" customHeight="true" outlineLevel="0" collapsed="false">
      <c r="P178" s="14"/>
    </row>
    <row r="179" customFormat="false" ht="15" hidden="false" customHeight="true" outlineLevel="0" collapsed="false">
      <c r="P179" s="14"/>
    </row>
    <row r="180" customFormat="false" ht="15" hidden="false" customHeight="true" outlineLevel="0" collapsed="false">
      <c r="P180" s="14"/>
    </row>
    <row r="181" customFormat="false" ht="15" hidden="false" customHeight="true" outlineLevel="0" collapsed="false">
      <c r="P181" s="14"/>
    </row>
    <row r="182" customFormat="false" ht="15" hidden="false" customHeight="true" outlineLevel="0" collapsed="false">
      <c r="P182" s="14"/>
    </row>
    <row r="183" customFormat="false" ht="15" hidden="false" customHeight="true" outlineLevel="0" collapsed="false">
      <c r="P183" s="14"/>
    </row>
    <row r="184" customFormat="false" ht="15" hidden="false" customHeight="true" outlineLevel="0" collapsed="false">
      <c r="P184" s="14"/>
    </row>
    <row r="185" customFormat="false" ht="15" hidden="false" customHeight="true" outlineLevel="0" collapsed="false">
      <c r="P185" s="14"/>
    </row>
    <row r="186" customFormat="false" ht="15" hidden="false" customHeight="true" outlineLevel="0" collapsed="false">
      <c r="P186" s="14"/>
    </row>
    <row r="187" customFormat="false" ht="15" hidden="false" customHeight="true" outlineLevel="0" collapsed="false">
      <c r="P187" s="14"/>
    </row>
    <row r="188" customFormat="false" ht="15" hidden="false" customHeight="true" outlineLevel="0" collapsed="false">
      <c r="P188" s="14"/>
    </row>
    <row r="189" customFormat="false" ht="15" hidden="false" customHeight="true" outlineLevel="0" collapsed="false">
      <c r="P189" s="14"/>
    </row>
    <row r="190" customFormat="false" ht="15" hidden="false" customHeight="true" outlineLevel="0" collapsed="false">
      <c r="P190" s="14"/>
    </row>
    <row r="191" customFormat="false" ht="15" hidden="false" customHeight="true" outlineLevel="0" collapsed="false">
      <c r="P191" s="14"/>
    </row>
    <row r="192" customFormat="false" ht="15" hidden="false" customHeight="true" outlineLevel="0" collapsed="false">
      <c r="P192" s="14"/>
    </row>
    <row r="193" customFormat="false" ht="15" hidden="false" customHeight="true" outlineLevel="0" collapsed="false">
      <c r="P193" s="14"/>
    </row>
    <row r="194" customFormat="false" ht="15" hidden="false" customHeight="true" outlineLevel="0" collapsed="false">
      <c r="P194" s="14"/>
    </row>
    <row r="195" customFormat="false" ht="15" hidden="false" customHeight="true" outlineLevel="0" collapsed="false">
      <c r="P195" s="14"/>
    </row>
    <row r="196" customFormat="false" ht="15" hidden="false" customHeight="true" outlineLevel="0" collapsed="false">
      <c r="P196" s="14"/>
    </row>
    <row r="197" customFormat="false" ht="15" hidden="false" customHeight="true" outlineLevel="0" collapsed="false">
      <c r="P197" s="14"/>
    </row>
    <row r="198" customFormat="false" ht="15" hidden="false" customHeight="true" outlineLevel="0" collapsed="false">
      <c r="P198" s="14"/>
    </row>
    <row r="199" customFormat="false" ht="15" hidden="false" customHeight="true" outlineLevel="0" collapsed="false">
      <c r="P199" s="14"/>
    </row>
    <row r="200" customFormat="false" ht="15" hidden="false" customHeight="true" outlineLevel="0" collapsed="false">
      <c r="P200" s="14"/>
    </row>
    <row r="201" customFormat="false" ht="15" hidden="false" customHeight="true" outlineLevel="0" collapsed="false">
      <c r="P201" s="14"/>
    </row>
    <row r="202" customFormat="false" ht="15" hidden="false" customHeight="true" outlineLevel="0" collapsed="false">
      <c r="P202" s="14"/>
    </row>
    <row r="203" customFormat="false" ht="15" hidden="false" customHeight="true" outlineLevel="0" collapsed="false">
      <c r="P203" s="14"/>
    </row>
    <row r="204" customFormat="false" ht="15" hidden="false" customHeight="true" outlineLevel="0" collapsed="false">
      <c r="P204" s="14"/>
    </row>
    <row r="205" customFormat="false" ht="15" hidden="false" customHeight="true" outlineLevel="0" collapsed="false">
      <c r="P205" s="14"/>
    </row>
    <row r="206" customFormat="false" ht="15" hidden="false" customHeight="true" outlineLevel="0" collapsed="false">
      <c r="P206" s="14"/>
    </row>
    <row r="207" customFormat="false" ht="15" hidden="false" customHeight="true" outlineLevel="0" collapsed="false">
      <c r="P207" s="14"/>
    </row>
    <row r="208" customFormat="false" ht="15" hidden="false" customHeight="true" outlineLevel="0" collapsed="false">
      <c r="P208" s="14"/>
    </row>
    <row r="209" customFormat="false" ht="15" hidden="false" customHeight="true" outlineLevel="0" collapsed="false">
      <c r="P209" s="14"/>
    </row>
    <row r="210" customFormat="false" ht="15" hidden="false" customHeight="true" outlineLevel="0" collapsed="false">
      <c r="P210" s="14"/>
    </row>
    <row r="211" customFormat="false" ht="15" hidden="false" customHeight="true" outlineLevel="0" collapsed="false">
      <c r="P211" s="14"/>
    </row>
    <row r="212" customFormat="false" ht="15" hidden="false" customHeight="true" outlineLevel="0" collapsed="false">
      <c r="P212" s="14"/>
    </row>
    <row r="213" customFormat="false" ht="15" hidden="false" customHeight="true" outlineLevel="0" collapsed="false">
      <c r="P213" s="14"/>
    </row>
    <row r="214" customFormat="false" ht="15" hidden="false" customHeight="true" outlineLevel="0" collapsed="false">
      <c r="P214" s="14"/>
    </row>
    <row r="215" customFormat="false" ht="15" hidden="false" customHeight="true" outlineLevel="0" collapsed="false">
      <c r="P215" s="14"/>
    </row>
    <row r="216" customFormat="false" ht="15" hidden="false" customHeight="true" outlineLevel="0" collapsed="false">
      <c r="P216" s="14"/>
    </row>
    <row r="217" customFormat="false" ht="15" hidden="false" customHeight="true" outlineLevel="0" collapsed="false">
      <c r="P217" s="14"/>
    </row>
    <row r="218" customFormat="false" ht="15" hidden="false" customHeight="true" outlineLevel="0" collapsed="false">
      <c r="P218" s="14"/>
    </row>
    <row r="219" customFormat="false" ht="15" hidden="false" customHeight="true" outlineLevel="0" collapsed="false">
      <c r="P219" s="14"/>
    </row>
    <row r="220" customFormat="false" ht="15" hidden="false" customHeight="true" outlineLevel="0" collapsed="false">
      <c r="P220" s="14"/>
    </row>
    <row r="221" customFormat="false" ht="15" hidden="false" customHeight="true" outlineLevel="0" collapsed="false">
      <c r="P221" s="14"/>
    </row>
    <row r="222" customFormat="false" ht="15" hidden="false" customHeight="true" outlineLevel="0" collapsed="false">
      <c r="P222" s="14"/>
    </row>
    <row r="223" customFormat="false" ht="15" hidden="false" customHeight="true" outlineLevel="0" collapsed="false">
      <c r="P223" s="14"/>
    </row>
    <row r="224" customFormat="false" ht="15" hidden="false" customHeight="true" outlineLevel="0" collapsed="false">
      <c r="P224" s="14"/>
    </row>
    <row r="225" customFormat="false" ht="15" hidden="false" customHeight="true" outlineLevel="0" collapsed="false">
      <c r="P225" s="14"/>
    </row>
    <row r="226" customFormat="false" ht="15" hidden="false" customHeight="true" outlineLevel="0" collapsed="false">
      <c r="P226" s="14"/>
    </row>
    <row r="227" customFormat="false" ht="15" hidden="false" customHeight="true" outlineLevel="0" collapsed="false">
      <c r="P227" s="14"/>
    </row>
    <row r="228" customFormat="false" ht="15" hidden="false" customHeight="true" outlineLevel="0" collapsed="false">
      <c r="P228" s="14"/>
    </row>
    <row r="229" customFormat="false" ht="15" hidden="false" customHeight="true" outlineLevel="0" collapsed="false">
      <c r="P229" s="14"/>
    </row>
    <row r="230" customFormat="false" ht="15" hidden="false" customHeight="true" outlineLevel="0" collapsed="false">
      <c r="P230" s="14"/>
    </row>
  </sheetData>
  <autoFilter ref="A1:W56"/>
  <conditionalFormatting sqref="A2:A230">
    <cfRule type="expression" priority="2" aboveAverage="0" equalAverage="0" bottom="0" percent="0" rank="0" text="" dxfId="13">
      <formula>$A2="A"</formula>
    </cfRule>
    <cfRule type="expression" priority="3" aboveAverage="0" equalAverage="0" bottom="0" percent="0" rank="0" text="" dxfId="14">
      <formula>$A2="B"</formula>
    </cfRule>
    <cfRule type="expression" priority="4" aboveAverage="0" equalAverage="0" bottom="0" percent="0" rank="0" text="" dxfId="15">
      <formula>$A2="C"</formula>
    </cfRule>
  </conditionalFormatting>
  <dataValidations count="3">
    <dataValidation allowBlank="true" errorStyle="stop" operator="between" showDropDown="false" showErrorMessage="false" showInputMessage="false" sqref="A2:A230" type="list">
      <formula1>"A,B,C"</formula1>
      <formula2>0</formula2>
    </dataValidation>
    <dataValidation allowBlank="true" errorStyle="stop" operator="between" showDropDown="false" showErrorMessage="false" showInputMessage="false" sqref="O2:O230" type="list">
      <formula1>"Nieuw,Benaderd,Geïnteresseerd,Offerte uitgebracht,Offerte gewonnen,Offerte verloren,Geen interesse"</formula1>
      <formula2>0</formula2>
    </dataValidation>
    <dataValidation allowBlank="true" errorStyle="stop" operator="greaterThan" showDropDown="false" showErrorMessage="false" showInputMessage="false" sqref="P2:P230" type="date">
      <formula1>DATE(2020,1,1)</formula1>
      <formula2>0</formula2>
    </dataValidation>
  </dataValidations>
  <hyperlinks>
    <hyperlink ref="H2" r:id="rId1" display="https://www.kuehne-nagel.com/"/>
    <hyperlink ref="I2" r:id="rId2" display="Open in Maps"/>
    <hyperlink ref="S2" r:id="rId3" display="Zoek"/>
    <hyperlink ref="T2" r:id="rId4" display="Zoek"/>
    <hyperlink ref="U2" r:id="rId5" display="Zoek"/>
    <hyperlink ref="V2" r:id="rId6" display="Zoek"/>
    <hyperlink ref="I3" r:id="rId7" display="Open in Maps"/>
    <hyperlink ref="S3" r:id="rId8" display="Zoek"/>
    <hyperlink ref="T3" r:id="rId9" display="Zoek"/>
    <hyperlink ref="U3" r:id="rId10" display="Zoek"/>
    <hyperlink ref="V3" r:id="rId11" display="Zoek"/>
    <hyperlink ref="H4" r:id="rId12" display="http://www.broeklogistics.nl/"/>
    <hyperlink ref="I4" r:id="rId13" display="Open in Maps"/>
    <hyperlink ref="S4" r:id="rId14" display="Zoek"/>
    <hyperlink ref="T4" r:id="rId15" display="Zoek"/>
    <hyperlink ref="U4" r:id="rId16" display="Zoek"/>
    <hyperlink ref="V4" r:id="rId17" display="Zoek"/>
    <hyperlink ref="H5" r:id="rId18" display="https://www.voslogistics.com/"/>
    <hyperlink ref="I5" r:id="rId19" display="Open in Maps"/>
    <hyperlink ref="S5" r:id="rId20" display="Zoek"/>
    <hyperlink ref="T5" r:id="rId21" display="Zoek"/>
    <hyperlink ref="U5" r:id="rId22" display="Zoek"/>
    <hyperlink ref="V5" r:id="rId23" display="Zoek"/>
    <hyperlink ref="H6" r:id="rId24" display="https://www.dollevoet.nl/"/>
    <hyperlink ref="I6" r:id="rId25" display="Open in Maps"/>
    <hyperlink ref="S6" r:id="rId26" display="Zoek"/>
    <hyperlink ref="T6" r:id="rId27" display="Zoek"/>
    <hyperlink ref="U6" r:id="rId28" display="Zoek"/>
    <hyperlink ref="V6" r:id="rId29" display="Zoek"/>
    <hyperlink ref="I7" r:id="rId30" display="Open in Maps"/>
    <hyperlink ref="S7" r:id="rId31" display="Zoek"/>
    <hyperlink ref="T7" r:id="rId32" display="Zoek"/>
    <hyperlink ref="U7" r:id="rId33" display="Zoek"/>
    <hyperlink ref="V7" r:id="rId34" display="Zoek"/>
    <hyperlink ref="H8" r:id="rId35" display="http://www.voslogistics.com/"/>
    <hyperlink ref="I8" r:id="rId36" display="Open in Maps"/>
    <hyperlink ref="S8" r:id="rId37" display="Zoek"/>
    <hyperlink ref="T8" r:id="rId38" display="Zoek"/>
    <hyperlink ref="U8" r:id="rId39" display="Zoek"/>
    <hyperlink ref="V8" r:id="rId40" display="Zoek"/>
    <hyperlink ref="H9" r:id="rId41" display="https://www.voslogistics.com/"/>
    <hyperlink ref="I9" r:id="rId42" display="Open in Maps"/>
    <hyperlink ref="S9" r:id="rId43" display="Zoek"/>
    <hyperlink ref="T9" r:id="rId44" display="Zoek"/>
    <hyperlink ref="U9" r:id="rId45" display="Zoek"/>
    <hyperlink ref="V9" r:id="rId46" display="Zoek"/>
    <hyperlink ref="H10" r:id="rId47" display="https://www.chain-logistics.nl/"/>
    <hyperlink ref="I10" r:id="rId48" display="Open in Maps"/>
    <hyperlink ref="S10" r:id="rId49" display="Zoek"/>
    <hyperlink ref="T10" r:id="rId50" display="Zoek"/>
    <hyperlink ref="U10" r:id="rId51" display="Zoek"/>
    <hyperlink ref="V10" r:id="rId52" display="Zoek"/>
    <hyperlink ref="H11" r:id="rId53" display="https://www.sandersfritom.nl/"/>
    <hyperlink ref="I11" r:id="rId54" display="Open in Maps"/>
    <hyperlink ref="S11" r:id="rId55" display="Zoek"/>
    <hyperlink ref="T11" r:id="rId56" display="Zoek"/>
    <hyperlink ref="U11" r:id="rId57" display="Zoek"/>
    <hyperlink ref="V11" r:id="rId58" display="Zoek"/>
    <hyperlink ref="H12" r:id="rId59" display="https://svztransport.nl/"/>
    <hyperlink ref="I12" r:id="rId60" display="Open in Maps"/>
    <hyperlink ref="S12" r:id="rId61" display="Zoek"/>
    <hyperlink ref="T12" r:id="rId62" display="Zoek"/>
    <hyperlink ref="U12" r:id="rId63" display="Zoek"/>
    <hyperlink ref="V12" r:id="rId64" display="Zoek"/>
    <hyperlink ref="H13" r:id="rId65" display="http://dhl.com/"/>
    <hyperlink ref="I13" r:id="rId66" display="Open in Maps"/>
    <hyperlink ref="S13" r:id="rId67" display="Zoek"/>
    <hyperlink ref="T13" r:id="rId68" display="Zoek"/>
    <hyperlink ref="U13" r:id="rId69" display="Zoek"/>
    <hyperlink ref="V13" r:id="rId70" display="Zoek"/>
    <hyperlink ref="H14" r:id="rId71" display="http://www.edco.nl/"/>
    <hyperlink ref="I14" r:id="rId72" display="Open in Maps"/>
    <hyperlink ref="S14" r:id="rId73" display="Zoek"/>
    <hyperlink ref="T14" r:id="rId74" display="Zoek"/>
    <hyperlink ref="U14" r:id="rId75" display="Zoek"/>
    <hyperlink ref="V14" r:id="rId76" display="Zoek"/>
    <hyperlink ref="H15" r:id="rId77" display="https://www.facebook.com/friedislegers/"/>
    <hyperlink ref="I15" r:id="rId78" display="Open in Maps"/>
    <hyperlink ref="S15" r:id="rId79" display="Zoek"/>
    <hyperlink ref="T15" r:id="rId80" display="Zoek"/>
    <hyperlink ref="U15" r:id="rId81" display="Zoek"/>
    <hyperlink ref="V15" r:id="rId82" display="Zoek"/>
    <hyperlink ref="H16" r:id="rId83" display="http://www.vegro.nl/"/>
    <hyperlink ref="I16" r:id="rId84" display="Open in Maps"/>
    <hyperlink ref="S16" r:id="rId85" display="Zoek"/>
    <hyperlink ref="T16" r:id="rId86" display="Zoek"/>
    <hyperlink ref="U16" r:id="rId87" display="Zoek"/>
    <hyperlink ref="V16" r:id="rId88" display="Zoek"/>
    <hyperlink ref="H17" r:id="rId89" display="http://www.alju.nl/"/>
    <hyperlink ref="I17" r:id="rId90" display="Open in Maps"/>
    <hyperlink ref="S17" r:id="rId91" display="Zoek"/>
    <hyperlink ref="T17" r:id="rId92" display="Zoek"/>
    <hyperlink ref="U17" r:id="rId93" display="Zoek"/>
    <hyperlink ref="V17" r:id="rId94" display="Zoek"/>
    <hyperlink ref="I18" r:id="rId95" display="Open in Maps"/>
    <hyperlink ref="S18" r:id="rId96" display="Zoek"/>
    <hyperlink ref="T18" r:id="rId97" display="Zoek"/>
    <hyperlink ref="U18" r:id="rId98" display="Zoek"/>
    <hyperlink ref="V18" r:id="rId99" display="Zoek"/>
    <hyperlink ref="H19" r:id="rId100" display="https://mnglogistics.nl/"/>
    <hyperlink ref="I19" r:id="rId101" display="Open in Maps"/>
    <hyperlink ref="S19" r:id="rId102" display="Zoek"/>
    <hyperlink ref="T19" r:id="rId103" display="Zoek"/>
    <hyperlink ref="U19" r:id="rId104" display="Zoek"/>
    <hyperlink ref="V19" r:id="rId105" display="Zoek"/>
    <hyperlink ref="H20" r:id="rId106" display="http://www.plus.nl/"/>
    <hyperlink ref="I20" r:id="rId107" display="Open in Maps"/>
    <hyperlink ref="S20" r:id="rId108" display="Zoek"/>
    <hyperlink ref="T20" r:id="rId109" display="Zoek"/>
    <hyperlink ref="U20" r:id="rId110" display="Zoek"/>
    <hyperlink ref="V20" r:id="rId111" display="Zoek"/>
    <hyperlink ref="H21" r:id="rId112" display="http://www.itcholland.com/"/>
    <hyperlink ref="I21" r:id="rId113" display="Open in Maps"/>
    <hyperlink ref="S21" r:id="rId114" display="Zoek"/>
    <hyperlink ref="T21" r:id="rId115" display="Zoek"/>
    <hyperlink ref="U21" r:id="rId116" display="Zoek"/>
    <hyperlink ref="V21" r:id="rId117" display="Zoek"/>
    <hyperlink ref="H22" r:id="rId118" display="http://www.vice-versa.org/"/>
    <hyperlink ref="I22" r:id="rId119" display="Open in Maps"/>
    <hyperlink ref="S22" r:id="rId120" display="Zoek"/>
    <hyperlink ref="T22" r:id="rId121" display="Zoek"/>
    <hyperlink ref="U22" r:id="rId122" display="Zoek"/>
    <hyperlink ref="V22" r:id="rId123" display="Zoek"/>
    <hyperlink ref="I23" r:id="rId124" display="Open in Maps"/>
    <hyperlink ref="S23" r:id="rId125" display="Zoek"/>
    <hyperlink ref="T23" r:id="rId126" display="Zoek"/>
    <hyperlink ref="U23" r:id="rId127" display="Zoek"/>
    <hyperlink ref="V23" r:id="rId128" display="Zoek"/>
    <hyperlink ref="H24" r:id="rId129" display="https://www.destil.nl/over-destil/vestigingen/destil-uden"/>
    <hyperlink ref="I24" r:id="rId130" display="Open in Maps"/>
    <hyperlink ref="S24" r:id="rId131" display="Zoek"/>
    <hyperlink ref="T24" r:id="rId132" display="Zoek"/>
    <hyperlink ref="U24" r:id="rId133" display="Zoek"/>
    <hyperlink ref="V24" r:id="rId134" display="Zoek"/>
    <hyperlink ref="I25" r:id="rId135" display="Open in Maps"/>
    <hyperlink ref="S25" r:id="rId136" display="Zoek"/>
    <hyperlink ref="T25" r:id="rId137" display="Zoek"/>
    <hyperlink ref="U25" r:id="rId138" display="Zoek"/>
    <hyperlink ref="V25" r:id="rId139" display="Zoek"/>
    <hyperlink ref="H26" r:id="rId140" display="https://www.sidekix.nl/"/>
    <hyperlink ref="I26" r:id="rId141" display="Open in Maps"/>
    <hyperlink ref="S26" r:id="rId142" display="Zoek"/>
    <hyperlink ref="T26" r:id="rId143" display="Zoek"/>
    <hyperlink ref="U26" r:id="rId144" display="Zoek"/>
    <hyperlink ref="V26" r:id="rId145" display="Zoek"/>
    <hyperlink ref="H27" r:id="rId146" display="http://www.lionlogistics.nl/"/>
    <hyperlink ref="I27" r:id="rId147" display="Open in Maps"/>
    <hyperlink ref="S27" r:id="rId148" display="Zoek"/>
    <hyperlink ref="T27" r:id="rId149" display="Zoek"/>
    <hyperlink ref="U27" r:id="rId150" display="Zoek"/>
    <hyperlink ref="V27" r:id="rId151" display="Zoek"/>
    <hyperlink ref="H28" r:id="rId152" display="http://www.hufa-logistics.nl/"/>
    <hyperlink ref="I28" r:id="rId153" display="Open in Maps"/>
    <hyperlink ref="S28" r:id="rId154" display="Zoek"/>
    <hyperlink ref="T28" r:id="rId155" display="Zoek"/>
    <hyperlink ref="U28" r:id="rId156" display="Zoek"/>
    <hyperlink ref="V28" r:id="rId157" display="Zoek"/>
    <hyperlink ref="H29" r:id="rId158" display="https://www.vangrunsventransport.nl/"/>
    <hyperlink ref="I29" r:id="rId159" display="Open in Maps"/>
    <hyperlink ref="S29" r:id="rId160" display="Zoek"/>
    <hyperlink ref="T29" r:id="rId161" display="Zoek"/>
    <hyperlink ref="U29" r:id="rId162" display="Zoek"/>
    <hyperlink ref="V29" r:id="rId163" display="Zoek"/>
    <hyperlink ref="H30" r:id="rId164" display="http://www.transport-4u.nl/"/>
    <hyperlink ref="I30" r:id="rId165" display="Open in Maps"/>
    <hyperlink ref="S30" r:id="rId166" display="Zoek"/>
    <hyperlink ref="T30" r:id="rId167" display="Zoek"/>
    <hyperlink ref="U30" r:id="rId168" display="Zoek"/>
    <hyperlink ref="V30" r:id="rId169" display="Zoek"/>
    <hyperlink ref="H31" r:id="rId170" display="http://www.vendrigtransport.nl/"/>
    <hyperlink ref="I31" r:id="rId171" display="Open in Maps"/>
    <hyperlink ref="S31" r:id="rId172" display="Zoek"/>
    <hyperlink ref="T31" r:id="rId173" display="Zoek"/>
    <hyperlink ref="U31" r:id="rId174" display="Zoek"/>
    <hyperlink ref="V31" r:id="rId175" display="Zoek"/>
    <hyperlink ref="H32" r:id="rId176" display="http://www.gebroedersvaneijk.nl/"/>
    <hyperlink ref="I32" r:id="rId177" display="Open in Maps"/>
    <hyperlink ref="S32" r:id="rId178" display="Zoek"/>
    <hyperlink ref="T32" r:id="rId179" display="Zoek"/>
    <hyperlink ref="U32" r:id="rId180" display="Zoek"/>
    <hyperlink ref="V32" r:id="rId181" display="Zoek"/>
    <hyperlink ref="H33" r:id="rId182" display="https://www.gebroedersvaneijk.nl/"/>
    <hyperlink ref="I33" r:id="rId183" display="Open in Maps"/>
    <hyperlink ref="S33" r:id="rId184" display="Zoek"/>
    <hyperlink ref="T33" r:id="rId185" display="Zoek"/>
    <hyperlink ref="U33" r:id="rId186" display="Zoek"/>
    <hyperlink ref="V33" r:id="rId187" display="Zoek"/>
    <hyperlink ref="H34" r:id="rId188" display="http://www.nuntrans.nl/"/>
    <hyperlink ref="I34" r:id="rId189" display="Open in Maps"/>
    <hyperlink ref="S34" r:id="rId190" display="Zoek"/>
    <hyperlink ref="T34" r:id="rId191" display="Zoek"/>
    <hyperlink ref="U34" r:id="rId192" display="Zoek"/>
    <hyperlink ref="V34" r:id="rId193" display="Zoek"/>
    <hyperlink ref="H35" r:id="rId194" display="http://www.driessenvlierden.nl/"/>
    <hyperlink ref="I35" r:id="rId195" display="Open in Maps"/>
    <hyperlink ref="S35" r:id="rId196" display="Zoek"/>
    <hyperlink ref="T35" r:id="rId197" display="Zoek"/>
    <hyperlink ref="U35" r:id="rId198" display="Zoek"/>
    <hyperlink ref="V35" r:id="rId199" display="Zoek"/>
    <hyperlink ref="H36" r:id="rId200" display="http://www.janderijk.com/"/>
    <hyperlink ref="I36" r:id="rId201" display="Open in Maps"/>
    <hyperlink ref="S36" r:id="rId202" display="Zoek"/>
    <hyperlink ref="T36" r:id="rId203" display="Zoek"/>
    <hyperlink ref="U36" r:id="rId204" display="Zoek"/>
    <hyperlink ref="V36" r:id="rId205" display="Zoek"/>
    <hyperlink ref="H37" r:id="rId206" display="http://www.manderslogistics.nl/"/>
    <hyperlink ref="I37" r:id="rId207" display="Open in Maps"/>
    <hyperlink ref="S37" r:id="rId208" display="Zoek"/>
    <hyperlink ref="T37" r:id="rId209" display="Zoek"/>
    <hyperlink ref="U37" r:id="rId210" display="Zoek"/>
    <hyperlink ref="V37" r:id="rId211" display="Zoek"/>
    <hyperlink ref="H38" r:id="rId212" display="http://www.schneider-transport.com/"/>
    <hyperlink ref="I38" r:id="rId213" display="Open in Maps"/>
    <hyperlink ref="S38" r:id="rId214" display="Zoek"/>
    <hyperlink ref="T38" r:id="rId215" display="Zoek"/>
    <hyperlink ref="U38" r:id="rId216" display="Zoek"/>
    <hyperlink ref="V38" r:id="rId217" display="Zoek"/>
    <hyperlink ref="H39" r:id="rId218" display="https://www.lankveld.com/"/>
    <hyperlink ref="I39" r:id="rId219" display="Open in Maps"/>
    <hyperlink ref="S39" r:id="rId220" display="Zoek"/>
    <hyperlink ref="T39" r:id="rId221" display="Zoek"/>
    <hyperlink ref="U39" r:id="rId222" display="Zoek"/>
    <hyperlink ref="V39" r:id="rId223" display="Zoek"/>
    <hyperlink ref="H40" r:id="rId224" display="http://www.vanudenbekxtransport.nl/"/>
    <hyperlink ref="I40" r:id="rId225" display="Open in Maps"/>
    <hyperlink ref="S40" r:id="rId226" display="Zoek"/>
    <hyperlink ref="T40" r:id="rId227" display="Zoek"/>
    <hyperlink ref="U40" r:id="rId228" display="Zoek"/>
    <hyperlink ref="V40" r:id="rId229" display="Zoek"/>
    <hyperlink ref="I41" r:id="rId230" display="Open in Maps"/>
    <hyperlink ref="S41" r:id="rId231" display="Zoek"/>
    <hyperlink ref="T41" r:id="rId232" display="Zoek"/>
    <hyperlink ref="U41" r:id="rId233" display="Zoek"/>
    <hyperlink ref="V41" r:id="rId234" display="Zoek"/>
    <hyperlink ref="H42" r:id="rId235" display="http://www.heuvelbakel.nl/"/>
    <hyperlink ref="I42" r:id="rId236" display="Open in Maps"/>
    <hyperlink ref="S42" r:id="rId237" display="Zoek"/>
    <hyperlink ref="T42" r:id="rId238" display="Zoek"/>
    <hyperlink ref="U42" r:id="rId239" display="Zoek"/>
    <hyperlink ref="V42" r:id="rId240" display="Zoek"/>
    <hyperlink ref="H43" r:id="rId241" display="http://www.vvtransportbv.nl/"/>
    <hyperlink ref="I43" r:id="rId242" display="Open in Maps"/>
    <hyperlink ref="S43" r:id="rId243" display="Zoek"/>
    <hyperlink ref="T43" r:id="rId244" display="Zoek"/>
    <hyperlink ref="U43" r:id="rId245" display="Zoek"/>
    <hyperlink ref="V43" r:id="rId246" display="Zoek"/>
    <hyperlink ref="H44" r:id="rId247" display="http://www.hoefnagelstransport.nl/"/>
    <hyperlink ref="I44" r:id="rId248" display="Open in Maps"/>
    <hyperlink ref="S44" r:id="rId249" display="Zoek"/>
    <hyperlink ref="T44" r:id="rId250" display="Zoek"/>
    <hyperlink ref="U44" r:id="rId251" display="Zoek"/>
    <hyperlink ref="V44" r:id="rId252" display="Zoek"/>
    <hyperlink ref="H45" r:id="rId253" display="https://www.onelineage.com/"/>
    <hyperlink ref="I45" r:id="rId254" display="Open in Maps"/>
    <hyperlink ref="S45" r:id="rId255" display="Zoek"/>
    <hyperlink ref="T45" r:id="rId256" display="Zoek"/>
    <hyperlink ref="U45" r:id="rId257" display="Zoek"/>
    <hyperlink ref="V45" r:id="rId258" display="Zoek"/>
    <hyperlink ref="H46" r:id="rId259" display="https://ddefulfilment.nl/"/>
    <hyperlink ref="I46" r:id="rId260" display="Open in Maps"/>
    <hyperlink ref="S46" r:id="rId261" display="Zoek"/>
    <hyperlink ref="T46" r:id="rId262" display="Zoek"/>
    <hyperlink ref="U46" r:id="rId263" display="Zoek"/>
    <hyperlink ref="V46" r:id="rId264" display="Zoek"/>
    <hyperlink ref="H47" r:id="rId265" display="https://futurefulfilment.nl/"/>
    <hyperlink ref="I47" r:id="rId266" display="Open in Maps"/>
    <hyperlink ref="S47" r:id="rId267" display="Zoek"/>
    <hyperlink ref="T47" r:id="rId268" display="Zoek"/>
    <hyperlink ref="U47" r:id="rId269" display="Zoek"/>
    <hyperlink ref="V47" r:id="rId270" display="Zoek"/>
    <hyperlink ref="H48" r:id="rId271" display="https://www.emtrade.nl/"/>
    <hyperlink ref="I48" r:id="rId272" display="Open in Maps"/>
    <hyperlink ref="S48" r:id="rId273" display="Zoek"/>
    <hyperlink ref="T48" r:id="rId274" display="Zoek"/>
    <hyperlink ref="U48" r:id="rId275" display="Zoek"/>
    <hyperlink ref="V48" r:id="rId276" display="Zoek"/>
    <hyperlink ref="H49" r:id="rId277" display="https://www.geldroplogistics.nl/"/>
    <hyperlink ref="I49" r:id="rId278" display="Open in Maps"/>
    <hyperlink ref="S49" r:id="rId279" display="Zoek"/>
    <hyperlink ref="T49" r:id="rId280" display="Zoek"/>
    <hyperlink ref="U49" r:id="rId281" display="Zoek"/>
    <hyperlink ref="V49" r:id="rId282" display="Zoek"/>
    <hyperlink ref="H50" r:id="rId283" display="http://www.venpoultry.nl/"/>
    <hyperlink ref="I50" r:id="rId284" display="Open in Maps"/>
    <hyperlink ref="S50" r:id="rId285" display="Zoek"/>
    <hyperlink ref="T50" r:id="rId286" display="Zoek"/>
    <hyperlink ref="U50" r:id="rId287" display="Zoek"/>
    <hyperlink ref="V50" r:id="rId288" display="Zoek"/>
    <hyperlink ref="I51" r:id="rId289" display="Open in Maps"/>
    <hyperlink ref="S51" r:id="rId290" display="Zoek"/>
    <hyperlink ref="T51" r:id="rId291" display="Zoek"/>
    <hyperlink ref="U51" r:id="rId292" display="Zoek"/>
    <hyperlink ref="V51" r:id="rId293" display="Zoek"/>
    <hyperlink ref="H52" r:id="rId294" display="http://www.kanterstransport.nl/"/>
    <hyperlink ref="I52" r:id="rId295" display="Open in Maps"/>
    <hyperlink ref="S52" r:id="rId296" display="Zoek"/>
    <hyperlink ref="T52" r:id="rId297" display="Zoek"/>
    <hyperlink ref="U52" r:id="rId298" display="Zoek"/>
    <hyperlink ref="V52" r:id="rId299" display="Zoek"/>
    <hyperlink ref="H53" r:id="rId300" display="http://www.hurkmans-transport.nl/"/>
    <hyperlink ref="I53" r:id="rId301" display="Open in Maps"/>
    <hyperlink ref="S53" r:id="rId302" display="Zoek"/>
    <hyperlink ref="T53" r:id="rId303" display="Zoek"/>
    <hyperlink ref="U53" r:id="rId304" display="Zoek"/>
    <hyperlink ref="V53" r:id="rId305" display="Zoek"/>
    <hyperlink ref="H54" r:id="rId306" display="https://www.beverscontainertransport.nl/"/>
    <hyperlink ref="I54" r:id="rId307" display="Open in Maps"/>
    <hyperlink ref="S54" r:id="rId308" display="Zoek"/>
    <hyperlink ref="T54" r:id="rId309" display="Zoek"/>
    <hyperlink ref="U54" r:id="rId310" display="Zoek"/>
    <hyperlink ref="V54" r:id="rId311" display="Zoek"/>
    <hyperlink ref="H55" r:id="rId312" display="https://www.snelvervoer.nl/"/>
    <hyperlink ref="I55" r:id="rId313" display="Open in Maps"/>
    <hyperlink ref="S55" r:id="rId314" display="Zoek"/>
    <hyperlink ref="T55" r:id="rId315" display="Zoek"/>
    <hyperlink ref="U55" r:id="rId316" display="Zoek"/>
    <hyperlink ref="V55" r:id="rId317" display="Zoek"/>
    <hyperlink ref="H56" r:id="rId318" display="https://www.manders.eu/"/>
    <hyperlink ref="I56" r:id="rId319" display="Open in Maps"/>
    <hyperlink ref="S56" r:id="rId320" display="Zoek"/>
    <hyperlink ref="T56" r:id="rId321" display="Zoek"/>
    <hyperlink ref="U56" r:id="rId322" display="Zoek"/>
    <hyperlink ref="V56" r:id="rId323" display="Zoe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2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12"/>
  </cols>
  <sheetData>
    <row r="1" customFormat="false" ht="17.25" hidden="false" customHeight="true" outlineLevel="0" collapsed="false">
      <c r="A1" s="15" t="s">
        <v>397</v>
      </c>
    </row>
    <row r="3" customFormat="false" ht="15" hidden="false" customHeight="true" outlineLevel="0" collapsed="false">
      <c r="A3" s="16" t="s">
        <v>0</v>
      </c>
      <c r="B3" s="16" t="s">
        <v>28</v>
      </c>
      <c r="C3" s="16" t="s">
        <v>59</v>
      </c>
      <c r="D3" s="16" t="s">
        <v>86</v>
      </c>
      <c r="E3" s="16" t="s">
        <v>398</v>
      </c>
      <c r="F3" s="16" t="s">
        <v>399</v>
      </c>
    </row>
    <row r="4" customFormat="false" ht="15" hidden="false" customHeight="true" outlineLevel="0" collapsed="false">
      <c r="A4" s="17" t="s">
        <v>23</v>
      </c>
      <c r="B4" s="17" t="n">
        <f aca="false">COUNTIFS(Leads!$A:$A,$A4,Leads!$F:$F,B$3)</f>
        <v>4</v>
      </c>
      <c r="C4" s="17" t="n">
        <f aca="false">COUNTIFS(Leads!$A:$A,$A4,Leads!$F:$F,C$3)</f>
        <v>4</v>
      </c>
      <c r="D4" s="17" t="n">
        <f aca="false">COUNTIFS(Leads!$A:$A,$A4,Leads!$F:$F,D$3)</f>
        <v>3</v>
      </c>
      <c r="E4" s="17" t="n">
        <f aca="false">F4-B4-C4-D4</f>
        <v>6</v>
      </c>
      <c r="F4" s="17" t="n">
        <f aca="false">COUNTIF(Leads!$A:$A,$A4)</f>
        <v>17</v>
      </c>
    </row>
    <row r="5" customFormat="false" ht="15" hidden="false" customHeight="true" outlineLevel="0" collapsed="false">
      <c r="A5" s="17" t="s">
        <v>102</v>
      </c>
      <c r="B5" s="17" t="n">
        <f aca="false">COUNTIFS(Leads!$A:$A,$A5,Leads!$F:$F,B$3)</f>
        <v>4</v>
      </c>
      <c r="C5" s="17" t="n">
        <f aca="false">COUNTIFS(Leads!$A:$A,$A5,Leads!$F:$F,C$3)</f>
        <v>6</v>
      </c>
      <c r="D5" s="17" t="n">
        <f aca="false">COUNTIFS(Leads!$A:$A,$A5,Leads!$F:$F,D$3)</f>
        <v>4</v>
      </c>
      <c r="E5" s="17" t="n">
        <f aca="false">F5-B5-C5-D5</f>
        <v>14</v>
      </c>
      <c r="F5" s="17" t="n">
        <f aca="false">COUNTIF(Leads!$A:$A,$A5)</f>
        <v>28</v>
      </c>
    </row>
    <row r="6" customFormat="false" ht="15" hidden="false" customHeight="true" outlineLevel="0" collapsed="false">
      <c r="A6" s="17" t="s">
        <v>188</v>
      </c>
      <c r="B6" s="17" t="n">
        <f aca="false">COUNTIFS(Leads!$A:$A,$A6,Leads!$F:$F,B$3)</f>
        <v>0</v>
      </c>
      <c r="C6" s="17" t="n">
        <f aca="false">COUNTIFS(Leads!$A:$A,$A6,Leads!$F:$F,C$3)</f>
        <v>1</v>
      </c>
      <c r="D6" s="17" t="n">
        <f aca="false">COUNTIFS(Leads!$A:$A,$A6,Leads!$F:$F,D$3)</f>
        <v>2</v>
      </c>
      <c r="E6" s="17" t="n">
        <f aca="false">F6-B6-C6-D6</f>
        <v>7</v>
      </c>
      <c r="F6" s="17" t="n">
        <f aca="false">COUNTIF(Leads!$A:$A,$A6)</f>
        <v>10</v>
      </c>
    </row>
    <row r="7" customFormat="false" ht="15" hidden="false" customHeight="true" outlineLevel="0" collapsed="false">
      <c r="A7" s="18" t="s">
        <v>399</v>
      </c>
      <c r="B7" s="17" t="n">
        <f aca="false">SUM(B4:B6)</f>
        <v>8</v>
      </c>
      <c r="C7" s="17" t="n">
        <f aca="false">SUM(C4:C6)</f>
        <v>11</v>
      </c>
      <c r="D7" s="17" t="n">
        <f aca="false">SUM(D4:D6)</f>
        <v>9</v>
      </c>
      <c r="E7" s="17" t="n">
        <f aca="false">SUM(E4:E6)</f>
        <v>27</v>
      </c>
      <c r="F7" s="17" t="n">
        <f aca="false">SUM(F4:F6)</f>
        <v>55</v>
      </c>
    </row>
    <row r="8" customFormat="false" ht="15" hidden="false" customHeight="true" outlineLevel="0" collapsed="false">
      <c r="A8" s="17"/>
      <c r="B8" s="17"/>
      <c r="C8" s="17"/>
      <c r="D8" s="17"/>
      <c r="E8" s="17"/>
      <c r="F8" s="17"/>
    </row>
    <row r="9" customFormat="false" ht="15" hidden="false" customHeight="true" outlineLevel="0" collapsed="false">
      <c r="A9" s="16" t="s">
        <v>14</v>
      </c>
      <c r="B9" s="16" t="s">
        <v>400</v>
      </c>
      <c r="C9" s="17"/>
      <c r="D9" s="17"/>
      <c r="E9" s="17"/>
      <c r="F9" s="17"/>
    </row>
    <row r="10" customFormat="false" ht="15" hidden="false" customHeight="true" outlineLevel="0" collapsed="false">
      <c r="A10" s="17" t="s">
        <v>34</v>
      </c>
      <c r="B10" s="17" t="n">
        <f aca="false">COUNTIF(Leads!$O:$O,A10)</f>
        <v>55</v>
      </c>
      <c r="C10" s="17"/>
      <c r="D10" s="17"/>
      <c r="E10" s="17"/>
      <c r="F10" s="17"/>
    </row>
    <row r="11" customFormat="false" ht="15" hidden="false" customHeight="true" outlineLevel="0" collapsed="false">
      <c r="A11" s="17" t="s">
        <v>401</v>
      </c>
      <c r="B11" s="17" t="n">
        <f aca="false">COUNTIF(Leads!$O:$O,A11)</f>
        <v>0</v>
      </c>
      <c r="C11" s="17"/>
      <c r="D11" s="17"/>
      <c r="E11" s="17"/>
      <c r="F11" s="17"/>
    </row>
    <row r="12" customFormat="false" ht="15" hidden="false" customHeight="true" outlineLevel="0" collapsed="false">
      <c r="A12" s="17" t="s">
        <v>402</v>
      </c>
      <c r="B12" s="17" t="n">
        <f aca="false">COUNTIF(Leads!$O:$O,A12)</f>
        <v>0</v>
      </c>
      <c r="C12" s="17"/>
      <c r="D12" s="17"/>
      <c r="E12" s="17"/>
      <c r="F12" s="17"/>
    </row>
    <row r="13" customFormat="false" ht="15" hidden="false" customHeight="true" outlineLevel="0" collapsed="false">
      <c r="A13" s="17" t="s">
        <v>403</v>
      </c>
      <c r="B13" s="17" t="n">
        <f aca="false">COUNTIF(Leads!$O:$O,A13)</f>
        <v>0</v>
      </c>
      <c r="C13" s="17"/>
      <c r="D13" s="17"/>
      <c r="E13" s="17"/>
      <c r="F13" s="17"/>
    </row>
    <row r="14" customFormat="false" ht="15" hidden="false" customHeight="true" outlineLevel="0" collapsed="false">
      <c r="A14" s="17" t="s">
        <v>404</v>
      </c>
      <c r="B14" s="17" t="n">
        <f aca="false">COUNTIF(Leads!$O:$O,A14)</f>
        <v>0</v>
      </c>
      <c r="C14" s="17"/>
      <c r="D14" s="17"/>
      <c r="E14" s="17"/>
      <c r="F14" s="17"/>
    </row>
    <row r="15" customFormat="false" ht="15" hidden="false" customHeight="true" outlineLevel="0" collapsed="false">
      <c r="A15" s="17" t="s">
        <v>405</v>
      </c>
      <c r="B15" s="17" t="n">
        <f aca="false">COUNTIF(Leads!$O:$O,A15)</f>
        <v>0</v>
      </c>
      <c r="C15" s="17"/>
      <c r="D15" s="17"/>
      <c r="E15" s="17"/>
      <c r="F15" s="17"/>
    </row>
    <row r="16" customFormat="false" ht="15" hidden="false" customHeight="true" outlineLevel="0" collapsed="false">
      <c r="A16" s="17" t="s">
        <v>406</v>
      </c>
      <c r="B16" s="17" t="n">
        <f aca="false">COUNTIF(Leads!$O:$O,A16)</f>
        <v>0</v>
      </c>
      <c r="C16" s="17"/>
      <c r="D16" s="17"/>
      <c r="E16" s="17"/>
      <c r="F16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95"/>
  </cols>
  <sheetData>
    <row r="1" customFormat="false" ht="17.25" hidden="false" customHeight="true" outlineLevel="0" collapsed="false">
      <c r="A1" s="15" t="s">
        <v>407</v>
      </c>
    </row>
    <row r="3" customFormat="false" ht="15" hidden="false" customHeight="true" outlineLevel="0" collapsed="false">
      <c r="A3" s="19" t="s">
        <v>408</v>
      </c>
      <c r="B3" s="20" t="s">
        <v>409</v>
      </c>
    </row>
    <row r="4" customFormat="false" ht="15" hidden="false" customHeight="true" outlineLevel="0" collapsed="false">
      <c r="A4" s="19" t="s">
        <v>410</v>
      </c>
      <c r="B4" s="20" t="s">
        <v>411</v>
      </c>
    </row>
    <row r="5" customFormat="false" ht="15" hidden="false" customHeight="true" outlineLevel="0" collapsed="false">
      <c r="A5" s="19" t="s">
        <v>412</v>
      </c>
      <c r="B5" s="20" t="s">
        <v>195</v>
      </c>
    </row>
    <row r="6" customFormat="false" ht="15" hidden="false" customHeight="true" outlineLevel="0" collapsed="false">
      <c r="A6" s="19"/>
      <c r="B6" s="20"/>
    </row>
    <row r="7" customFormat="false" ht="15" hidden="false" customHeight="true" outlineLevel="0" collapsed="false">
      <c r="A7" s="19" t="s">
        <v>413</v>
      </c>
      <c r="B7" s="20" t="s">
        <v>414</v>
      </c>
    </row>
    <row r="8" customFormat="false" ht="15" hidden="false" customHeight="true" outlineLevel="0" collapsed="false">
      <c r="A8" s="19" t="s">
        <v>14</v>
      </c>
      <c r="B8" s="20" t="s">
        <v>415</v>
      </c>
    </row>
    <row r="9" customFormat="false" ht="15" hidden="false" customHeight="true" outlineLevel="0" collapsed="false">
      <c r="A9" s="19" t="s">
        <v>416</v>
      </c>
      <c r="B9" s="20" t="s">
        <v>417</v>
      </c>
    </row>
    <row r="10" customFormat="false" ht="15" hidden="false" customHeight="true" outlineLevel="0" collapsed="false">
      <c r="A10" s="19"/>
      <c r="B10" s="20"/>
    </row>
    <row r="11" customFormat="false" ht="23.25" hidden="false" customHeight="true" outlineLevel="0" collapsed="false">
      <c r="A11" s="19" t="s">
        <v>418</v>
      </c>
      <c r="B11" s="20" t="s">
        <v>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2026-10-01T08:54:31Z</dcterms:created>
  <dc:creator>openpyxl</dc:creator>
  <dc:description/>
  <dc:language>en-US</dc:language>
  <cp:lastModifiedBy/>
  <dcterms:modified xsi:type="dcterms:W3CDTF">2026-10-01T11:39:28Z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